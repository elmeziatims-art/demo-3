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72527\Desktop\RDH\2026 T1\"/>
    </mc:Choice>
  </mc:AlternateContent>
  <xr:revisionPtr revIDLastSave="0" documentId="13_ncr:1_{0C639CD9-A9CB-4293-B4C3-C84BC5CC854A}" xr6:coauthVersionLast="47" xr6:coauthVersionMax="47" xr10:uidLastSave="{00000000-0000-0000-0000-000000000000}"/>
  <bookViews>
    <workbookView xWindow="-108" yWindow="-108" windowWidth="23256" windowHeight="12456" tabRatio="997" xr2:uid="{00000000-000D-0000-FFFF-FFFF00000000}"/>
  </bookViews>
  <sheets>
    <sheet name="1. Business Lines (2)" sheetId="26" r:id="rId1"/>
    <sheet name="2. Entities" sheetId="27" r:id="rId2"/>
    <sheet name="Réalisé Vs Estimé" sheetId="28" r:id="rId3"/>
    <sheet name="Réalisé Vs Estimé (Valeurs)" sheetId="29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VAR1">[1]Presentation!#REF!</definedName>
    <definedName name="__VAR2">[1]Presentation!#REF!</definedName>
    <definedName name="__VAR3">[1]Presentation!#REF!</definedName>
    <definedName name="__VAR4">[1]Presentation!#REF!</definedName>
    <definedName name="__VAR5">[1]Presentation!#REF!</definedName>
    <definedName name="__VAR6">[1]Presentation!#REF!</definedName>
    <definedName name="__VAR7">[1]Presentation!#REF!</definedName>
    <definedName name="__VAR8">[1]Presentation!#REF!</definedName>
    <definedName name="_xlnm._FilterDatabase" localSheetId="1" hidden="1">'2. Entities'!$B$3:$F$38</definedName>
    <definedName name="_xlnm._FilterDatabase" localSheetId="2" hidden="1">'Réalisé Vs Estimé'!$B$17:$C$97</definedName>
    <definedName name="_xlnm._FilterDatabase" localSheetId="3" hidden="1">'Réalisé Vs Estimé (Valeurs)'!$B$17:$C$97</definedName>
    <definedName name="_VAR1" localSheetId="2">[1]Presentation!#REF!</definedName>
    <definedName name="_VAR1" localSheetId="3">[1]Presentation!#REF!</definedName>
    <definedName name="_VAR1">[1]Presentation!#REF!</definedName>
    <definedName name="_VAR2" localSheetId="2">[1]Presentation!#REF!</definedName>
    <definedName name="_VAR2" localSheetId="3">[1]Presentation!#REF!</definedName>
    <definedName name="_VAR2">[1]Presentation!#REF!</definedName>
    <definedName name="_VAR3" localSheetId="2">[1]Presentation!#REF!</definedName>
    <definedName name="_VAR3" localSheetId="3">[1]Presentation!#REF!</definedName>
    <definedName name="_VAR3">[1]Presentation!#REF!</definedName>
    <definedName name="_VAR4" localSheetId="2">[1]Presentation!#REF!</definedName>
    <definedName name="_VAR4" localSheetId="3">[1]Presentation!#REF!</definedName>
    <definedName name="_VAR4">[1]Presentation!#REF!</definedName>
    <definedName name="_VAR5" localSheetId="2">[1]Presentation!#REF!</definedName>
    <definedName name="_VAR5" localSheetId="3">[1]Presentation!#REF!</definedName>
    <definedName name="_VAR5">[1]Presentation!#REF!</definedName>
    <definedName name="_VAR6" localSheetId="2">[1]Presentation!#REF!</definedName>
    <definedName name="_VAR6" localSheetId="3">[1]Presentation!#REF!</definedName>
    <definedName name="_VAR6">[1]Presentation!#REF!</definedName>
    <definedName name="_VAR7" localSheetId="2">[1]Presentation!#REF!</definedName>
    <definedName name="_VAR7" localSheetId="3">[1]Presentation!#REF!</definedName>
    <definedName name="_VAR7">[1]Presentation!#REF!</definedName>
    <definedName name="_VAR8" localSheetId="2">[1]Presentation!#REF!</definedName>
    <definedName name="_VAR8" localSheetId="3">[1]Presentation!#REF!</definedName>
    <definedName name="_VAR8">[1]Presentation!#REF!</definedName>
    <definedName name="activité1" localSheetId="2" hidden="1">{"résultats",#N/A,FALSE,"résultats SFS";"indicateurs",#N/A,FALSE,"résultats SFS";"commentaires",#N/A,FALSE,"commentaires SFS";"graphiques",#N/A,FALSE,"graphiques SFS"}</definedName>
    <definedName name="activité1" localSheetId="3" hidden="1">{"résultats",#N/A,FALSE,"résultats SFS";"indicateurs",#N/A,FALSE,"résultats SFS";"commentaires",#N/A,FALSE,"commentaires SFS";"graphiques",#N/A,FALSE,"graphiques SFS"}</definedName>
    <definedName name="activité1" hidden="1">{"résultats",#N/A,FALSE,"résultats SFS";"indicateurs",#N/A,FALSE,"résultats SFS";"commentaires",#N/A,FALSE,"commentaires SFS";"graphiques",#N/A,FALSE,"graphiques SFS"}</definedName>
    <definedName name="alkgj" localSheetId="2" hidden="1">{"résultats",#N/A,FALSE,"résultats SFS";"indicateurs",#N/A,FALSE,"résultats SFS";"commentaires",#N/A,FALSE,"commentaires SFS";"graphiques",#N/A,FALSE,"graphiques SFS"}</definedName>
    <definedName name="alkgj" localSheetId="3" hidden="1">{"résultats",#N/A,FALSE,"résultats SFS";"indicateurs",#N/A,FALSE,"résultats SFS";"commentaires",#N/A,FALSE,"commentaires SFS";"graphiques",#N/A,FALSE,"graphiques SFS"}</definedName>
    <definedName name="alkgj" hidden="1">{"résultats",#N/A,FALSE,"résultats SFS";"indicateurs",#N/A,FALSE,"résultats SFS";"commentaires",#N/A,FALSE,"commentaires SFS";"graphiques",#N/A,FALSE,"graphiques SFS"}</definedName>
    <definedName name="AN1PMIEGROUPE">#REF!</definedName>
    <definedName name="APMIEGROUPE2">'[1]T2 Actual N'!$B$134:$AL$151</definedName>
    <definedName name="B1OA060STEGROUPE">'[2]Budget N+1'!$A$191:$AC$208</definedName>
    <definedName name="base" localSheetId="2">[1]Presentation!#REF!</definedName>
    <definedName name="base" localSheetId="3">[1]Presentation!#REF!</definedName>
    <definedName name="base">[1]Presentation!#REF!</definedName>
    <definedName name="BCENTRALOA2">'[1]T2 Budget N'!$A$251:$H$268</definedName>
    <definedName name="BFRMPOA2">'[1]T2 Budget N'!$A$71:$U$88</definedName>
    <definedName name="BITA2">'[1]T2 Budget N'!$A$314:$J$332</definedName>
    <definedName name="BOA060STEGROUPE2">'[1]T2 Budget N'!$A$190:$AH$207</definedName>
    <definedName name="BOA061STEGROUPE2">'[1]T2 Budget N'!$A$221:$AH$238</definedName>
    <definedName name="BOAGROUPE2">'[1]T2 Budget N'!$A$11:$U$28</definedName>
    <definedName name="BPMIE2">'[1]T2 Budget N'!$C$130:$AL$147</definedName>
    <definedName name="BPROMOLUX2">'[1]T2 Budget N'!$A$346:$C$364</definedName>
    <definedName name="BSPOA2">'[1]T2 Budget N'!$A$101:$T$118</definedName>
    <definedName name="BSTEGROUPE2">'[1]T2 Budget N'!$A$41:$AH$58</definedName>
    <definedName name="DATE" localSheetId="2">[1]Presentation!#REF!</definedName>
    <definedName name="DATE" localSheetId="3">[1]Presentation!#REF!</definedName>
    <definedName name="DATE">[1]Presentation!#REF!</definedName>
    <definedName name="deux" localSheetId="2" hidden="1">{"résultats",#N/A,FALSE,"résultats SFS";"indicateurs",#N/A,FALSE,"résultats SFS";"commentaires",#N/A,FALSE,"commentaires SFS";"graphiques",#N/A,FALSE,"graphiques SFS"}</definedName>
    <definedName name="deux" localSheetId="3" hidden="1">{"résultats",#N/A,FALSE,"résultats SFS";"indicateurs",#N/A,FALSE,"résultats SFS";"commentaires",#N/A,FALSE,"commentaires SFS";"graphiques",#N/A,FALSE,"graphiques SFS"}</definedName>
    <definedName name="deux" hidden="1">{"résultats",#N/A,FALSE,"résultats SFS";"indicateurs",#N/A,FALSE,"résultats SFS";"commentaires",#N/A,FALSE,"commentaires SFS";"graphiques",#N/A,FALSE,"graphiques SFS"}</definedName>
    <definedName name="E1PMGBP">[3]GBP!$F$82:$I$92</definedName>
    <definedName name="EGBP">[3]GBP!$A$82:$D$92</definedName>
    <definedName name="EHDPMGROUP">'[3]Estimé N'!$A$162:$AE$179</definedName>
    <definedName name="ENCENTRALOA">#REF!</definedName>
    <definedName name="ENFRMPOA">#REF!</definedName>
    <definedName name="ENHDPMGROUP">'[3]Estimé précédent N'!$A$161:$AF$178</definedName>
    <definedName name="ENOAGROUPE">#REF!</definedName>
    <definedName name="ENSPOA">#REF!</definedName>
    <definedName name="ENSTEGROUPE">#REF!</definedName>
    <definedName name="EOA060STEGROUPE">#REF!</definedName>
    <definedName name="EOA061STEGROUPE">#REF!</definedName>
    <definedName name="eol_B05tobe" localSheetId="2" hidden="1">{"résultats",#N/A,FALSE,"résultats SFS";"indicateurs",#N/A,FALSE,"résultats SFS";"commentaires",#N/A,FALSE,"commentaires SFS";"graphiques",#N/A,FALSE,"graphiques SFS"}</definedName>
    <definedName name="eol_B05tobe" localSheetId="3" hidden="1">{"résultats",#N/A,FALSE,"résultats SFS";"indicateurs",#N/A,FALSE,"résultats SFS";"commentaires",#N/A,FALSE,"commentaires SFS";"graphiques",#N/A,FALSE,"graphiques SFS"}</definedName>
    <definedName name="eol_B05tobe" hidden="1">{"résultats",#N/A,FALSE,"résultats SFS";"indicateurs",#N/A,FALSE,"résultats SFS";"commentaires",#N/A,FALSE,"commentaires SFS";"graphiques",#N/A,FALSE,"graphiques SFS"}</definedName>
    <definedName name="EPMGROUPE">'[3]Estimé N'!$A$131:$AE$149</definedName>
    <definedName name="EPROMOLUX">#REF!</definedName>
    <definedName name="ESTITA">#REF!</definedName>
    <definedName name="FF" localSheetId="2" hidden="1">{"résultats",#N/A,FALSE,"résultats SFS";"indicateurs",#N/A,FALSE,"résultats SFS";"commentaires",#N/A,FALSE,"commentaires SFS";"graphiques",#N/A,FALSE,"graphiques SFS"}</definedName>
    <definedName name="FF" localSheetId="3" hidden="1">{"résultats",#N/A,FALSE,"résultats SFS";"indicateurs",#N/A,FALSE,"résultats SFS";"commentaires",#N/A,FALSE,"commentaires SFS";"graphiques",#N/A,FALSE,"graphiques SFS"}</definedName>
    <definedName name="FF" hidden="1">{"résultats",#N/A,FALSE,"résultats SFS";"indicateurs",#N/A,FALSE,"résultats SFS";"commentaires",#N/A,FALSE,"commentaires SFS";"graphiques",#N/A,FALSE,"graphiques SFS"}</definedName>
    <definedName name="graphes1" localSheetId="2" hidden="1">{"résultats",#N/A,FALSE,"résultats SFS";"indicateurs",#N/A,FALSE,"résultats SFS";"commentaires",#N/A,FALSE,"commentaires SFS";"graphiques",#N/A,FALSE,"graphiques SFS"}</definedName>
    <definedName name="graphes1" localSheetId="3" hidden="1">{"résultats",#N/A,FALSE,"résultats SFS";"indicateurs",#N/A,FALSE,"résultats SFS";"commentaires",#N/A,FALSE,"commentaires SFS";"graphiques",#N/A,FALSE,"graphiques SFS"}</definedName>
    <definedName name="graphes1" hidden="1">{"résultats",#N/A,FALSE,"résultats SFS";"indicateurs",#N/A,FALSE,"résultats SFS";"commentaires",#N/A,FALSE,"commentaires SFS";"graphiques",#N/A,FALSE,"graphiques SFS"}</definedName>
    <definedName name="LANGUE">[1]libellé!$B$1</definedName>
    <definedName name="LISTE">#REF!</definedName>
    <definedName name="mars_17">[4]Présentation!#REF!</definedName>
    <definedName name="N1CENTRALOA">#REF!</definedName>
    <definedName name="N1FRMPOA">#REF!</definedName>
    <definedName name="N1ITA">#REF!</definedName>
    <definedName name="N1OA060STEGROUPE">#REF!</definedName>
    <definedName name="N1OA061STEGROUPE">#REF!</definedName>
    <definedName name="N1OAGROUPE">#REF!</definedName>
    <definedName name="N1PROMOLUX">#REF!</definedName>
    <definedName name="N1SPOA">#REF!</definedName>
    <definedName name="N1STEGROUPE">#REF!</definedName>
    <definedName name="N1STEGROUPEAR014">#REF!</definedName>
    <definedName name="NCENTRALOA2">'[1]T2 Actual N'!$A$261:$H$278</definedName>
    <definedName name="NFRMPOA2">'[1]T2 Actual N'!$A$71:$U$88</definedName>
    <definedName name="NGBP">[3]GBP!$A$36:$D$46</definedName>
    <definedName name="NITA2">'[1]T2 Actual N'!$A$324:$J$342</definedName>
    <definedName name="NOA060STEGROUPE2">'[1]T2 Actual N'!$A$199:$AL$216</definedName>
    <definedName name="NOA061STEGROUPE2">'[1]T2 Actual N'!$A$231:$AL$248</definedName>
    <definedName name="NOAGROUPE2">'[1]T2 Actual N'!$A$11:$U$28</definedName>
    <definedName name="NPMGBP">[3]GBP!$F$36:$I$46</definedName>
    <definedName name="NPROMOLUX2">'[1]T2 Actual N'!$A$356:$C$374</definedName>
    <definedName name="NSPOA2">'[1]T2 Actual N'!$A$101:$U$118</definedName>
    <definedName name="NSTEGROUPE">'[1]T1 Actual N'!$A$41:$AH$58</definedName>
    <definedName name="NSTEGROUPEAR0142">'[1]T2 Actual N'!$AJ$41:$BM$58</definedName>
    <definedName name="NT1FRMPOA">#REF!</definedName>
    <definedName name="NT1OAGROUPE">#REF!</definedName>
    <definedName name="NT1SPOA">#REF!</definedName>
    <definedName name="NT1STEGROUPE">#REF!</definedName>
    <definedName name="ryhertertqert" localSheetId="2" hidden="1">{"résultats",#N/A,FALSE,"résultats SFS";"indicateurs",#N/A,FALSE,"résultats SFS";"commentaires",#N/A,FALSE,"commentaires SFS";"graphiques",#N/A,FALSE,"graphiques SFS"}</definedName>
    <definedName name="ryhertertqert" localSheetId="3" hidden="1">{"résultats",#N/A,FALSE,"résultats SFS";"indicateurs",#N/A,FALSE,"résultats SFS";"commentaires",#N/A,FALSE,"commentaires SFS";"graphiques",#N/A,FALSE,"graphiques SFS"}</definedName>
    <definedName name="ryhertertqert" hidden="1">{"résultats",#N/A,FALSE,"résultats SFS";"indicateurs",#N/A,FALSE,"résultats SFS";"commentaires",#N/A,FALSE,"commentaires SFS";"graphiques",#N/A,FALSE,"graphiques SFS"}</definedName>
    <definedName name="solver_num" hidden="1">0</definedName>
    <definedName name="solver_typ" hidden="1">1</definedName>
    <definedName name="solver_val" hidden="1">0</definedName>
    <definedName name="TITRE" localSheetId="2">[1]Presentation!#REF!</definedName>
    <definedName name="TITRE" localSheetId="3">[1]Presentation!#REF!</definedName>
    <definedName name="TITRE">[1]Presentation!#REF!</definedName>
    <definedName name="VAR">[5]Presentation!$B$49:$M$60</definedName>
    <definedName name="VARAN1HDPM">#REF!</definedName>
    <definedName name="VARAN1PMIE">#REF!</definedName>
    <definedName name="VARANPMIE">'[1]T1 Variables N'!$B$73:$AM$75</definedName>
    <definedName name="VARBFR2">'[1]T2 Variables Budget N'!$A$41:$U$43</definedName>
    <definedName name="VARBITA2">'[1]T2 Variables Budget N'!$A$131:$J$133</definedName>
    <definedName name="VARBOA2">'[1]T2 Variables Budget N'!$A$11:$U$13</definedName>
    <definedName name="VARBPROMOLUX2">'[1]T2 Variables Budget N'!$A$116:$C$118</definedName>
    <definedName name="VARBSP">'[1]T1 Variables Budget N'!$A$56:$U$58</definedName>
    <definedName name="VARBSTE2">'[1]T2 Variables Budget N'!$A$26:$AH$28</definedName>
    <definedName name="VAREFR">#REF!</definedName>
    <definedName name="VAREOA">#REF!</definedName>
    <definedName name="VAREOA6">#REF!</definedName>
    <definedName name="VAREPROMOLUX">#REF!</definedName>
    <definedName name="VARESP">#REF!</definedName>
    <definedName name="VARESTE">#REF!</definedName>
    <definedName name="VARESTGCENT">#REF!</definedName>
    <definedName name="VARN1FR">#REF!</definedName>
    <definedName name="VARN1OA">#REF!</definedName>
    <definedName name="VARN1OA6">#REF!</definedName>
    <definedName name="VARN1PROMOLUX">#REF!</definedName>
    <definedName name="VARN1SP">#REF!</definedName>
    <definedName name="VARN1STE">#REF!</definedName>
    <definedName name="VARNFR">'[1]T1 Variables N'!$A$41:$U$43</definedName>
    <definedName name="VARNITA2">'[1]T2 Variables N'!$A$153:$J$155</definedName>
    <definedName name="VARNOA">'[1]T1 Variables N'!$A$11:$U$13</definedName>
    <definedName name="VARNOA6">'[1]T1 Variables N'!$A$105:$AN$107</definedName>
    <definedName name="VARNPROMOLUX2">'[1]T2 Variables N'!$A$138:$C$140</definedName>
    <definedName name="VARNSP">'[1]T1 Variables N'!$A$56:$U$58</definedName>
    <definedName name="VARNSTE">'[1]T1 Variables N'!$A$26:$AH$28</definedName>
    <definedName name="wrn" localSheetId="2" hidden="1">{"résultats",#N/A,FALSE,"résultats SFS";"indicateurs",#N/A,FALSE,"résultats SFS";"commentaires",#N/A,FALSE,"commentaires SFS";"graphiques",#N/A,FALSE,"graphiques SFS"}</definedName>
    <definedName name="wrn" localSheetId="3" hidden="1">{"résultats",#N/A,FALSE,"résultats SFS";"indicateurs",#N/A,FALSE,"résultats SFS";"commentaires",#N/A,FALSE,"commentaires SFS";"graphiques",#N/A,FALSE,"graphiques SFS"}</definedName>
    <definedName name="wrn" hidden="1">{"résultats",#N/A,FALSE,"résultats SFS";"indicateurs",#N/A,FALSE,"résultats SFS";"commentaires",#N/A,FALSE,"commentaires SFS";"graphiques",#N/A,FALSE,"graphiques SFS"}</definedName>
    <definedName name="wrn.Book._.Forecast." localSheetId="2" hidden="1">{"titre",#N/A,TRUE,"Titre";"Synthèse",#N/A,TRUE,"Titre";"Synthèse Europe",#N/A,TRUE,"Titre";"Synthèse Amériques",#N/A,TRUE,"Titre";"Synthèse Asie + Total",#N/A,TRUE,"Titre";"budget Europe",#N/A,TRUE,"Titre";"budget Ameriques",#N/A,TRUE,"Titre";"budget Asie + Total",#N/A,TRUE,"Titre";"Couts Europe",#N/A,TRUE,"Titre";"Couts Ameriques",#N/A,TRUE,"Titre";"Ratio Europe",#N/A,TRUE,"Titre";"Couts Asie + Total",#N/A,TRUE,"Titre";"Ratio Ameriques",#N/A,TRUE,"Titre";"Ratio Asie + Total",#N/A,TRUE,"Titre";"CWA Europe",#N/A,TRUE,"Titre";"CWA Ameriques",#N/A,TRUE,"Titre";"CWA Asie + Total",#N/A,TRUE,"Titre";"provision",#N/A,TRUE,"Titre";"ROPE_RONE",#N/A,TRUE,"Titre";"Headcount",#N/A,TRUE,"Titre";"X-selling",#N/A,TRUE,"Titre"}</definedName>
    <definedName name="wrn.Book._.Forecast." localSheetId="3" hidden="1">{"titre",#N/A,TRUE,"Titre";"Synthèse",#N/A,TRUE,"Titre";"Synthèse Europe",#N/A,TRUE,"Titre";"Synthèse Amériques",#N/A,TRUE,"Titre";"Synthèse Asie + Total",#N/A,TRUE,"Titre";"budget Europe",#N/A,TRUE,"Titre";"budget Ameriques",#N/A,TRUE,"Titre";"budget Asie + Total",#N/A,TRUE,"Titre";"Couts Europe",#N/A,TRUE,"Titre";"Couts Ameriques",#N/A,TRUE,"Titre";"Ratio Europe",#N/A,TRUE,"Titre";"Couts Asie + Total",#N/A,TRUE,"Titre";"Ratio Ameriques",#N/A,TRUE,"Titre";"Ratio Asie + Total",#N/A,TRUE,"Titre";"CWA Europe",#N/A,TRUE,"Titre";"CWA Ameriques",#N/A,TRUE,"Titre";"CWA Asie + Total",#N/A,TRUE,"Titre";"provision",#N/A,TRUE,"Titre";"ROPE_RONE",#N/A,TRUE,"Titre";"Headcount",#N/A,TRUE,"Titre";"X-selling",#N/A,TRUE,"Titre"}</definedName>
    <definedName name="wrn.Book._.Forecast." hidden="1">{"titre",#N/A,TRUE,"Titre";"Synthèse",#N/A,TRUE,"Titre";"Synthèse Europe",#N/A,TRUE,"Titre";"Synthèse Amériques",#N/A,TRUE,"Titre";"Synthèse Asie + Total",#N/A,TRUE,"Titre";"budget Europe",#N/A,TRUE,"Titre";"budget Ameriques",#N/A,TRUE,"Titre";"budget Asie + Total",#N/A,TRUE,"Titre";"Couts Europe",#N/A,TRUE,"Titre";"Couts Ameriques",#N/A,TRUE,"Titre";"Ratio Europe",#N/A,TRUE,"Titre";"Couts Asie + Total",#N/A,TRUE,"Titre";"Ratio Ameriques",#N/A,TRUE,"Titre";"Ratio Asie + Total",#N/A,TRUE,"Titre";"CWA Europe",#N/A,TRUE,"Titre";"CWA Ameriques",#N/A,TRUE,"Titre";"CWA Asie + Total",#N/A,TRUE,"Titre";"provision",#N/A,TRUE,"Titre";"ROPE_RONE",#N/A,TRUE,"Titre";"Headcount",#N/A,TRUE,"Titre";"X-selling",#N/A,TRUE,"Titre"}</definedName>
    <definedName name="wrn.ed2." localSheetId="2" hidden="1">{"résultats",#N/A,FALSE,"résultats SFS";"indicateurs",#N/A,FALSE,"résultats SFS";"commentaires",#N/A,FALSE,"commentaires SFS";"graphiques",#N/A,FALSE,"graphiques SFS"}</definedName>
    <definedName name="wrn.ed2." localSheetId="3" hidden="1">{"résultats",#N/A,FALSE,"résultats SFS";"indicateurs",#N/A,FALSE,"résultats SFS";"commentaires",#N/A,FALSE,"commentaires SFS";"graphiques",#N/A,FALSE,"graphiques SFS"}</definedName>
    <definedName name="wrn.ed2." hidden="1">{"résultats",#N/A,FALSE,"résultats SFS";"indicateurs",#N/A,FALSE,"résultats SFS";"commentaires",#N/A,FALSE,"commentaires SFS";"graphiques",#N/A,FALSE,"graphiques SFS"}</definedName>
    <definedName name="wrn.ed3." localSheetId="2" hidden="1">{"résultats",#N/A,FALSE,"résultats SFS";"indicateurs",#N/A,FALSE,"résultats SFS";"commentaires",#N/A,FALSE,"commentaires SFS";"graphiques",#N/A,FALSE,"graphiques SFS"}</definedName>
    <definedName name="wrn.ed3." localSheetId="3" hidden="1">{"résultats",#N/A,FALSE,"résultats SFS";"indicateurs",#N/A,FALSE,"résultats SFS";"commentaires",#N/A,FALSE,"commentaires SFS";"graphiques",#N/A,FALSE,"graphiques SFS"}</definedName>
    <definedName name="wrn.ed3." hidden="1">{"résultats",#N/A,FALSE,"résultats SFS";"indicateurs",#N/A,FALSE,"résultats SFS";"commentaires",#N/A,FALSE,"commentaires SFS";"graphiques",#N/A,FALSE,"graphiques SFS"}</definedName>
    <definedName name="wrn.édition." localSheetId="2" hidden="1">{"résultats",#N/A,FALSE,"résultats SFS";"indicateurs",#N/A,FALSE,"résultats SFS";"commentaires",#N/A,FALSE,"commentaires SFS";"graphiques",#N/A,FALSE,"graphiques SFS"}</definedName>
    <definedName name="wrn.édition." localSheetId="3" hidden="1">{"résultats",#N/A,FALSE,"résultats SFS";"indicateurs",#N/A,FALSE,"résultats SFS";"commentaires",#N/A,FALSE,"commentaires SFS";"graphiques",#N/A,FALSE,"graphiques SFS"}</definedName>
    <definedName name="wrn.édition." hidden="1">{"résultats",#N/A,FALSE,"résultats SFS";"indicateurs",#N/A,FALSE,"résultats SFS";"commentaires",#N/A,FALSE,"commentaires SFS";"graphiques",#N/A,FALSE,"graphiques SFS"}</definedName>
    <definedName name="wrn.Graphes_horsImmo." localSheetId="2" hidden="1">{"graphes1",#N/A,FALSE,"graphes";"graphes2",#N/A,FALSE,"graphes";"graphes3",#N/A,FALSE,"graphes";"graphes4",#N/A,FALSE,"graphes";"graphes5",#N/A,FALSE,"graphes"}</definedName>
    <definedName name="wrn.Graphes_horsImmo." localSheetId="3" hidden="1">{"graphes1",#N/A,FALSE,"graphes";"graphes2",#N/A,FALSE,"graphes";"graphes3",#N/A,FALSE,"graphes";"graphes4",#N/A,FALSE,"graphes";"graphes5",#N/A,FALSE,"graphes"}</definedName>
    <definedName name="wrn.Graphes_horsImmo." hidden="1">{"graphes1",#N/A,FALSE,"graphes";"graphes2",#N/A,FALSE,"graphes";"graphes3",#N/A,FALSE,"graphes";"graphes4",#N/A,FALSE,"graphes";"graphes5",#N/A,FALSE,"graphes"}</definedName>
    <definedName name="wrn.Graphes_Immo." localSheetId="2" hidden="1">{"graphes6",#N/A,FALSE,"graphes_immo";"graphes7",#N/A,FALSE,"graphes_immo";"graphes8",#N/A,FALSE,"graphes_immo"}</definedName>
    <definedName name="wrn.Graphes_Immo." localSheetId="3" hidden="1">{"graphes6",#N/A,FALSE,"graphes_immo";"graphes7",#N/A,FALSE,"graphes_immo";"graphes8",#N/A,FALSE,"graphes_immo"}</definedName>
    <definedName name="wrn.Graphes_Immo." hidden="1">{"graphes6",#N/A,FALSE,"graphes_immo";"graphes7",#N/A,FALSE,"graphes_immo";"graphes8",#N/A,FALSE,"graphes_immo"}</definedName>
    <definedName name="wrn.Imprim_cadran." localSheetId="2" hidden="1">{"present",#N/A,FALSE,"present";"synthese",#N/A,FALSE,"present";"immo",#N/A,FALSE,"present";"klepierre",#N/A,FALSE,"present";"graphes",#N/A,FALSE,"present"}</definedName>
    <definedName name="wrn.Imprim_cadran." localSheetId="3" hidden="1">{"present",#N/A,FALSE,"present";"synthese",#N/A,FALSE,"present";"immo",#N/A,FALSE,"present";"klepierre",#N/A,FALSE,"present";"graphes",#N/A,FALSE,"present"}</definedName>
    <definedName name="wrn.Imprim_cadran." hidden="1">{"present",#N/A,FALSE,"present";"synthese",#N/A,FALSE,"present";"immo",#N/A,FALSE,"present";"klepierre",#N/A,FALSE,"present";"graphes",#N/A,FALSE,"present"}</definedName>
    <definedName name="wrn.Imprim_cadran_allege." localSheetId="2" hidden="1">{"present",#N/A,FALSE,"present";"immo",#N/A,FALSE,"present";"klepierre",#N/A,FALSE,"present";"graphes",#N/A,FALSE,"present"}</definedName>
    <definedName name="wrn.Imprim_cadran_allege." localSheetId="3" hidden="1">{"present",#N/A,FALSE,"present";"immo",#N/A,FALSE,"present";"klepierre",#N/A,FALSE,"present";"graphes",#N/A,FALSE,"present"}</definedName>
    <definedName name="wrn.Imprim_cadran_allege." hidden="1">{"present",#N/A,FALSE,"present";"immo",#N/A,FALSE,"present";"klepierre",#N/A,FALSE,"present";"graphes",#N/A,FALSE,"present"}</definedName>
    <definedName name="wrn.imprim_recto." localSheetId="2" hidden="1">{"pg",#N/A,FALSE,"present";"synthese",#N/A,FALSE,"present";"immo",#N/A,FALSE,"present";"klepierre",#N/A,FALSE,"present"}</definedName>
    <definedName name="wrn.imprim_recto." localSheetId="3" hidden="1">{"pg",#N/A,FALSE,"present";"synthese",#N/A,FALSE,"present";"immo",#N/A,FALSE,"present";"klepierre",#N/A,FALSE,"present"}</definedName>
    <definedName name="wrn.imprim_recto." hidden="1">{"pg",#N/A,FALSE,"present";"synthese",#N/A,FALSE,"present";"immo",#N/A,FALSE,"present";"klepierre",#N/A,FALSE,"present"}</definedName>
    <definedName name="wrn.imprim_verso." localSheetId="2" hidden="1">{"graphes",#N/A,FALSE,"present"}</definedName>
    <definedName name="wrn.imprim_verso." localSheetId="3" hidden="1">{"graphes",#N/A,FALSE,"present"}</definedName>
    <definedName name="wrn.imprim_verso." hidden="1">{"graphes",#N/A,FALSE,"present"}</definedName>
    <definedName name="wrn.Rapport_AMS_horsImmo." localSheetId="2" hidden="1">{"page de garde",#N/A,FALSE,"page de garde";"commentaires",#N/A,FALSE,"page de garde";"ams",#N/A,FALSE,"page de garde";"bpf",#N/A,FALSE,"page de garde";"bpi",#N/A,FALSE,"page de garde";"ga",#N/A,FALSE,"page de garde";"cc",#N/A,FALSE,"page de garde";"ass",#N/A,FALSE,"page de garde";"cardif",#N/A,FALSE,"page de garde";"nv",#N/A,FALSE,"page de garde"}</definedName>
    <definedName name="wrn.Rapport_AMS_horsImmo." localSheetId="3" hidden="1">{"page de garde",#N/A,FALSE,"page de garde";"commentaires",#N/A,FALSE,"page de garde";"ams",#N/A,FALSE,"page de garde";"bpf",#N/A,FALSE,"page de garde";"bpi",#N/A,FALSE,"page de garde";"ga",#N/A,FALSE,"page de garde";"cc",#N/A,FALSE,"page de garde";"ass",#N/A,FALSE,"page de garde";"cardif",#N/A,FALSE,"page de garde";"nv",#N/A,FALSE,"page de garde"}</definedName>
    <definedName name="wrn.Rapport_AMS_horsImmo." hidden="1">{"page de garde",#N/A,FALSE,"page de garde";"commentaires",#N/A,FALSE,"page de garde";"ams",#N/A,FALSE,"page de garde";"bpf",#N/A,FALSE,"page de garde";"bpi",#N/A,FALSE,"page de garde";"ga",#N/A,FALSE,"page de garde";"cc",#N/A,FALSE,"page de garde";"ass",#N/A,FALSE,"page de garde";"cardif",#N/A,FALSE,"page de garde";"nv",#N/A,FALSE,"page de garde"}</definedName>
    <definedName name="wrn.Rapport_AMS_ycImmo." localSheetId="2" hidden="1">{"page de garde",#N/A,FALSE,"page de garde";"commentaires",#N/A,FALSE,"page de garde";"ams",#N/A,FALSE,"page de garde";"bpf",#N/A,FALSE,"page de garde";"bpi",#N/A,FALSE,"page de garde";"ga",#N/A,FALSE,"page de garde";"cc",#N/A,FALSE,"page de garde";"SIP",#N/A,FALSE,"page de garde";"ass",#N/A,FALSE,"page de garde";"cardif",#N/A,FALSE,"page de garde";"nv",#N/A,FALSE,"page de garde";"klepierre",#N/A,FALSE,"page de garde"}</definedName>
    <definedName name="wrn.Rapport_AMS_ycImmo." localSheetId="3" hidden="1">{"page de garde",#N/A,FALSE,"page de garde";"commentaires",#N/A,FALSE,"page de garde";"ams",#N/A,FALSE,"page de garde";"bpf",#N/A,FALSE,"page de garde";"bpi",#N/A,FALSE,"page de garde";"ga",#N/A,FALSE,"page de garde";"cc",#N/A,FALSE,"page de garde";"SIP",#N/A,FALSE,"page de garde";"ass",#N/A,FALSE,"page de garde";"cardif",#N/A,FALSE,"page de garde";"nv",#N/A,FALSE,"page de garde";"klepierre",#N/A,FALSE,"page de garde"}</definedName>
    <definedName name="wrn.Rapport_AMS_ycImmo." hidden="1">{"page de garde",#N/A,FALSE,"page de garde";"commentaires",#N/A,FALSE,"page de garde";"ams",#N/A,FALSE,"page de garde";"bpf",#N/A,FALSE,"page de garde";"bpi",#N/A,FALSE,"page de garde";"ga",#N/A,FALSE,"page de garde";"cc",#N/A,FALSE,"page de garde";"SIP",#N/A,FALSE,"page de garde";"ass",#N/A,FALSE,"page de garde";"cardif",#N/A,FALSE,"page de garde";"nv",#N/A,FALSE,"page de garde";"klepierre",#N/A,FALSE,"page de garde"}</definedName>
    <definedName name="wrn.Rapport_CAC." localSheetId="2" hidden="1">{"CAC",#N/A,FALSE,"page de garde"}</definedName>
    <definedName name="wrn.Rapport_CAC." localSheetId="3" hidden="1">{"CAC",#N/A,FALSE,"page de garde"}</definedName>
    <definedName name="wrn.Rapport_CAC." hidden="1">{"CAC",#N/A,FALSE,"page de garde"}</definedName>
    <definedName name="wvu.p2." localSheetId="2" hidden="1">{TRUE,TRUE,241.75,1,240,204,FALSE,FALSE,TRUE,FALSE,0,31,#N/A,1,323,6.82758620689655,14.6,1,FALSE,TRUE,1,FALSE,1,FALSE,100,"Swvu.p2.","ACwvu.p2.",#N/A,FALSE,FALSE,0,0,0,0,2,"","",TRUE,TRUE,FALSE,FALSE,1,100,#N/A,#N/A,"=R1C31:R109C47",FALSE,"Rwvu.p2.","Cwvu.p2.",FALSE,FALSE,TRUE,9,#N/A,#N/A,FALSE,FALSE,TRUE,TRUE,TRUE}</definedName>
    <definedName name="wvu.p2." localSheetId="3" hidden="1">{TRUE,TRUE,241.75,1,240,204,FALSE,FALSE,TRUE,FALSE,0,31,#N/A,1,323,6.82758620689655,14.6,1,FALSE,TRUE,1,FALSE,1,FALSE,100,"Swvu.p2.","ACwvu.p2.",#N/A,FALSE,FALSE,0,0,0,0,2,"","",TRUE,TRUE,FALSE,FALSE,1,100,#N/A,#N/A,"=R1C31:R109C47",FALSE,"Rwvu.p2.","Cwvu.p2.",FALSE,FALSE,TRUE,9,#N/A,#N/A,FALSE,FALSE,TRUE,TRUE,TRUE}</definedName>
    <definedName name="wvu.p2." hidden="1">{TRUE,TRUE,241.75,1,240,204,FALSE,FALSE,TRUE,FALSE,0,31,#N/A,1,323,6.82758620689655,14.6,1,FALSE,TRUE,1,FALSE,1,FALSE,100,"Swvu.p2.","ACwvu.p2.",#N/A,FALSE,FALSE,0,0,0,0,2,"","",TRUE,TRUE,FALSE,FALSE,1,100,#N/A,#N/A,"=R1C31:R109C47",FALSE,"Rwvu.p2.","Cwvu.p2.",FALSE,FALSE,TRUE,9,#N/A,#N/A,FALSE,FALSE,TRUE,TRUE,TRUE}</definedName>
    <definedName name="wxw" localSheetId="2" hidden="1">{"résultats",#N/A,FALSE,"résultats SFS";"indicateurs",#N/A,FALSE,"résultats SFS";"commentaires",#N/A,FALSE,"commentaires SFS";"graphiques",#N/A,FALSE,"graphiques SFS"}</definedName>
    <definedName name="wxw" localSheetId="3" hidden="1">{"résultats",#N/A,FALSE,"résultats SFS";"indicateurs",#N/A,FALSE,"résultats SFS";"commentaires",#N/A,FALSE,"commentaires SFS";"graphiques",#N/A,FALSE,"graphiques SFS"}</definedName>
    <definedName name="wxw" hidden="1">{"résultats",#N/A,FALSE,"résultats SFS";"indicateurs",#N/A,FALSE,"résultats SFS";"commentaires",#N/A,FALSE,"commentaires SFS";"graphiques",#N/A,FALSE,"graphiques SFS"}</definedName>
    <definedName name="_xlnm.Print_Area" localSheetId="2">'Réalisé Vs Estimé'!$D$11:$U$135</definedName>
    <definedName name="_xlnm.Print_Area" localSheetId="3">'Réalisé Vs Estimé (Valeurs)'!$D$11:$U$135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4" i="28" l="1"/>
  <c r="S134" i="28" s="1"/>
  <c r="K134" i="28"/>
  <c r="Q134" i="28" s="1"/>
  <c r="R129" i="28"/>
  <c r="D129" i="28"/>
  <c r="BO128" i="28"/>
  <c r="BH128" i="28"/>
  <c r="AP128" i="28"/>
  <c r="AJ128" i="28"/>
  <c r="AD128" i="28"/>
  <c r="AD125" i="28" s="1"/>
  <c r="AD129" i="28" s="1"/>
  <c r="X128" i="28"/>
  <c r="R128" i="28"/>
  <c r="L128" i="28"/>
  <c r="H128" i="28"/>
  <c r="F128" i="28"/>
  <c r="BO127" i="28"/>
  <c r="BH127" i="28"/>
  <c r="BH125" i="28" s="1"/>
  <c r="BH129" i="28" s="1"/>
  <c r="AP127" i="28"/>
  <c r="AJ127" i="28"/>
  <c r="AJ125" i="28" s="1"/>
  <c r="AJ129" i="28" s="1"/>
  <c r="AD127" i="28"/>
  <c r="X127" i="28"/>
  <c r="R127" i="28"/>
  <c r="R125" i="28" s="1"/>
  <c r="L127" i="28"/>
  <c r="F127" i="28"/>
  <c r="BP126" i="28"/>
  <c r="BO126" i="28"/>
  <c r="BO125" i="28" s="1"/>
  <c r="BO129" i="28" s="1"/>
  <c r="BN126" i="28"/>
  <c r="BI126" i="28"/>
  <c r="BH126" i="28"/>
  <c r="BG126" i="28"/>
  <c r="AS126" i="28"/>
  <c r="AQ126" i="28"/>
  <c r="AP126" i="28"/>
  <c r="AP125" i="28" s="1"/>
  <c r="AP129" i="28" s="1"/>
  <c r="AO126" i="28"/>
  <c r="AM126" i="28"/>
  <c r="AK126" i="28"/>
  <c r="AJ126" i="28"/>
  <c r="AI126" i="28"/>
  <c r="AE126" i="28"/>
  <c r="AD126" i="28"/>
  <c r="AC126" i="28"/>
  <c r="AA126" i="28"/>
  <c r="Y126" i="28"/>
  <c r="X126" i="28"/>
  <c r="X125" i="28" s="1"/>
  <c r="X129" i="28" s="1"/>
  <c r="W126" i="28"/>
  <c r="R126" i="28"/>
  <c r="L126" i="28"/>
  <c r="H126" i="28"/>
  <c r="F126" i="28"/>
  <c r="F125" i="28" s="1"/>
  <c r="F129" i="28" s="1"/>
  <c r="D126" i="28"/>
  <c r="L125" i="28"/>
  <c r="L129" i="28" s="1"/>
  <c r="BP124" i="28"/>
  <c r="BN124" i="28"/>
  <c r="BI124" i="28"/>
  <c r="BG124" i="28"/>
  <c r="BK124" i="28" s="1"/>
  <c r="BA124" i="28"/>
  <c r="AQ124" i="28"/>
  <c r="AO124" i="28"/>
  <c r="AS124" i="28" s="1"/>
  <c r="AK124" i="28"/>
  <c r="AI124" i="28"/>
  <c r="AE124" i="28"/>
  <c r="AC124" i="28"/>
  <c r="Y124" i="28"/>
  <c r="W124" i="28"/>
  <c r="S124" i="28"/>
  <c r="BC124" i="28" s="1"/>
  <c r="Q124" i="28"/>
  <c r="M124" i="28"/>
  <c r="K124" i="28"/>
  <c r="O124" i="28" s="1"/>
  <c r="G124" i="28"/>
  <c r="E124" i="28"/>
  <c r="AP123" i="28"/>
  <c r="L123" i="28"/>
  <c r="AJ122" i="28"/>
  <c r="AJ123" i="28" s="1"/>
  <c r="R122" i="28"/>
  <c r="R123" i="28" s="1"/>
  <c r="L122" i="28"/>
  <c r="H122" i="28"/>
  <c r="H123" i="28" s="1"/>
  <c r="F122" i="28"/>
  <c r="F123" i="28" s="1"/>
  <c r="F119" i="28"/>
  <c r="BR115" i="28"/>
  <c r="BP115" i="28"/>
  <c r="BN115" i="28"/>
  <c r="BI115" i="28"/>
  <c r="BG115" i="28"/>
  <c r="BK115" i="28" s="1"/>
  <c r="AS115" i="28"/>
  <c r="AQ115" i="28"/>
  <c r="AO115" i="28"/>
  <c r="AK115" i="28"/>
  <c r="AI115" i="28"/>
  <c r="AM115" i="28" s="1"/>
  <c r="AG115" i="28"/>
  <c r="AE115" i="28"/>
  <c r="AC115" i="28"/>
  <c r="AA115" i="28"/>
  <c r="Y115" i="28"/>
  <c r="W115" i="28"/>
  <c r="E115" i="28"/>
  <c r="BR114" i="28"/>
  <c r="BP114" i="28"/>
  <c r="BN114" i="28"/>
  <c r="BK114" i="28"/>
  <c r="BI114" i="28"/>
  <c r="BG114" i="28"/>
  <c r="AW114" i="28"/>
  <c r="AU114" i="28"/>
  <c r="AY114" i="28" s="1"/>
  <c r="AS114" i="28"/>
  <c r="AQ114" i="28"/>
  <c r="AO114" i="28"/>
  <c r="AM114" i="28"/>
  <c r="AK114" i="28"/>
  <c r="AI114" i="28"/>
  <c r="AE114" i="28"/>
  <c r="AC114" i="28"/>
  <c r="AG114" i="28" s="1"/>
  <c r="Y114" i="28"/>
  <c r="AA114" i="28" s="1"/>
  <c r="W114" i="28"/>
  <c r="G114" i="28"/>
  <c r="E114" i="28"/>
  <c r="E110" i="28"/>
  <c r="BP109" i="28"/>
  <c r="BR100" i="28"/>
  <c r="AM100" i="28"/>
  <c r="AS100" i="28" s="1"/>
  <c r="AY100" i="28" s="1"/>
  <c r="AA100" i="28"/>
  <c r="AG100" i="28" s="1"/>
  <c r="S100" i="28"/>
  <c r="I100" i="28"/>
  <c r="G100" i="28"/>
  <c r="E100" i="28"/>
  <c r="Q99" i="28"/>
  <c r="U99" i="28" s="1"/>
  <c r="BE99" i="28" s="1"/>
  <c r="O99" i="28"/>
  <c r="I99" i="28"/>
  <c r="BP98" i="28"/>
  <c r="BP96" i="28" s="1"/>
  <c r="BN98" i="28"/>
  <c r="BN96" i="28" s="1"/>
  <c r="BI98" i="28"/>
  <c r="BI96" i="28" s="1"/>
  <c r="BG98" i="28"/>
  <c r="BG96" i="28" s="1"/>
  <c r="AQ98" i="28"/>
  <c r="AQ96" i="28" s="1"/>
  <c r="AO98" i="28"/>
  <c r="AO96" i="28" s="1"/>
  <c r="AK96" i="28"/>
  <c r="AI96" i="28"/>
  <c r="AE96" i="28"/>
  <c r="AC96" i="28"/>
  <c r="AG96" i="28" s="1"/>
  <c r="Y96" i="28"/>
  <c r="W96" i="28"/>
  <c r="S96" i="28"/>
  <c r="Q96" i="28"/>
  <c r="M96" i="28"/>
  <c r="K96" i="28"/>
  <c r="G96" i="28"/>
  <c r="E96" i="28"/>
  <c r="BO95" i="28"/>
  <c r="BO122" i="28" s="1"/>
  <c r="BO123" i="28" s="1"/>
  <c r="BH95" i="28"/>
  <c r="BH122" i="28" s="1"/>
  <c r="BH123" i="28" s="1"/>
  <c r="AP95" i="28"/>
  <c r="AP122" i="28" s="1"/>
  <c r="AJ95" i="28"/>
  <c r="AD95" i="28"/>
  <c r="AD122" i="28" s="1"/>
  <c r="AD123" i="28" s="1"/>
  <c r="X95" i="28"/>
  <c r="X122" i="28" s="1"/>
  <c r="X123" i="28" s="1"/>
  <c r="R95" i="28"/>
  <c r="BR94" i="28"/>
  <c r="BK94" i="28"/>
  <c r="BK126" i="28" s="1"/>
  <c r="AW94" i="28"/>
  <c r="AW115" i="28" s="1"/>
  <c r="AU94" i="28"/>
  <c r="AS94" i="28"/>
  <c r="AM94" i="28"/>
  <c r="AG94" i="28"/>
  <c r="AA94" i="28"/>
  <c r="S94" i="28"/>
  <c r="S126" i="28" s="1"/>
  <c r="Q94" i="28"/>
  <c r="M94" i="28"/>
  <c r="M126" i="28" s="1"/>
  <c r="K94" i="28"/>
  <c r="K126" i="28" s="1"/>
  <c r="G94" i="28"/>
  <c r="G115" i="28" s="1"/>
  <c r="E94" i="28"/>
  <c r="E126" i="28" s="1"/>
  <c r="D94" i="28"/>
  <c r="BP93" i="28"/>
  <c r="BN93" i="28"/>
  <c r="BI93" i="28"/>
  <c r="BI128" i="28" s="1"/>
  <c r="BG93" i="28"/>
  <c r="BG128" i="28" s="1"/>
  <c r="AQ93" i="28"/>
  <c r="AQ128" i="28" s="1"/>
  <c r="AO93" i="28"/>
  <c r="AK93" i="28"/>
  <c r="AI93" i="28"/>
  <c r="AI128" i="28" s="1"/>
  <c r="AE93" i="28"/>
  <c r="AE128" i="28" s="1"/>
  <c r="AC93" i="28"/>
  <c r="Y93" i="28"/>
  <c r="Y128" i="28" s="1"/>
  <c r="W93" i="28"/>
  <c r="S93" i="28"/>
  <c r="S128" i="28" s="1"/>
  <c r="BC128" i="28" s="1"/>
  <c r="Q93" i="28"/>
  <c r="Q128" i="28" s="1"/>
  <c r="BA128" i="28" s="1"/>
  <c r="M93" i="28"/>
  <c r="K93" i="28"/>
  <c r="K128" i="28" s="1"/>
  <c r="G93" i="28"/>
  <c r="G128" i="28" s="1"/>
  <c r="E93" i="28"/>
  <c r="BP92" i="28"/>
  <c r="BP55" i="28" s="1"/>
  <c r="BN92" i="28"/>
  <c r="BR92" i="28" s="1"/>
  <c r="BI92" i="28"/>
  <c r="BG92" i="28"/>
  <c r="BK92" i="28" s="1"/>
  <c r="AQ92" i="28"/>
  <c r="AQ55" i="28" s="1"/>
  <c r="AO92" i="28"/>
  <c r="AK92" i="28"/>
  <c r="AK55" i="28" s="1"/>
  <c r="AI92" i="28"/>
  <c r="AI55" i="28" s="1"/>
  <c r="AE92" i="28"/>
  <c r="AE55" i="28" s="1"/>
  <c r="AC92" i="28"/>
  <c r="Y92" i="28"/>
  <c r="W92" i="28"/>
  <c r="S92" i="28"/>
  <c r="Q92" i="28"/>
  <c r="M92" i="28"/>
  <c r="M55" i="28" s="1"/>
  <c r="K92" i="28"/>
  <c r="G92" i="28"/>
  <c r="G55" i="28" s="1"/>
  <c r="E92" i="28"/>
  <c r="E55" i="28" s="1"/>
  <c r="BP91" i="28"/>
  <c r="BN91" i="28"/>
  <c r="BI91" i="28"/>
  <c r="BG91" i="28"/>
  <c r="AQ91" i="28"/>
  <c r="AO91" i="28"/>
  <c r="AK91" i="28"/>
  <c r="AI91" i="28"/>
  <c r="AE91" i="28"/>
  <c r="AC91" i="28"/>
  <c r="Y91" i="28"/>
  <c r="W91" i="28"/>
  <c r="AA91" i="28" s="1"/>
  <c r="S91" i="28"/>
  <c r="Q91" i="28"/>
  <c r="M91" i="28"/>
  <c r="K91" i="28"/>
  <c r="G91" i="28"/>
  <c r="E91" i="28"/>
  <c r="D91" i="28"/>
  <c r="BR90" i="28"/>
  <c r="BK90" i="28"/>
  <c r="AW90" i="28"/>
  <c r="AU90" i="28"/>
  <c r="AY90" i="28" s="1"/>
  <c r="AS90" i="28"/>
  <c r="AM90" i="28"/>
  <c r="AG90" i="28"/>
  <c r="AA90" i="28"/>
  <c r="S90" i="28"/>
  <c r="S114" i="28" s="1"/>
  <c r="Q90" i="28"/>
  <c r="Q114" i="28" s="1"/>
  <c r="U114" i="28" s="1"/>
  <c r="O90" i="28"/>
  <c r="M90" i="28"/>
  <c r="M114" i="28" s="1"/>
  <c r="K90" i="28"/>
  <c r="K114" i="28" s="1"/>
  <c r="O114" i="28" s="1"/>
  <c r="I90" i="28"/>
  <c r="D90" i="28"/>
  <c r="BP89" i="28"/>
  <c r="BP88" i="28" s="1"/>
  <c r="BN89" i="28"/>
  <c r="BI89" i="28"/>
  <c r="BG89" i="28"/>
  <c r="BG88" i="28" s="1"/>
  <c r="AQ89" i="28"/>
  <c r="AO89" i="28"/>
  <c r="AK89" i="28"/>
  <c r="AK88" i="28" s="1"/>
  <c r="AI89" i="28"/>
  <c r="AM89" i="28" s="1"/>
  <c r="AE89" i="28"/>
  <c r="AE88" i="28" s="1"/>
  <c r="AC89" i="28"/>
  <c r="Y89" i="28"/>
  <c r="Y88" i="28" s="1"/>
  <c r="W89" i="28"/>
  <c r="S89" i="28"/>
  <c r="S88" i="28" s="1"/>
  <c r="Q89" i="28"/>
  <c r="U89" i="28" s="1"/>
  <c r="M89" i="28"/>
  <c r="M88" i="28" s="1"/>
  <c r="K89" i="28"/>
  <c r="K88" i="28" s="1"/>
  <c r="G89" i="28"/>
  <c r="G88" i="28" s="1"/>
  <c r="E89" i="28"/>
  <c r="BQ88" i="28"/>
  <c r="BJ88" i="28"/>
  <c r="AX88" i="28"/>
  <c r="AR88" i="28"/>
  <c r="AL88" i="28"/>
  <c r="AF88" i="28"/>
  <c r="Z88" i="28"/>
  <c r="W88" i="28"/>
  <c r="T88" i="28"/>
  <c r="N88" i="28"/>
  <c r="H88" i="28"/>
  <c r="BP87" i="28"/>
  <c r="BN87" i="28"/>
  <c r="BR87" i="28" s="1"/>
  <c r="BI87" i="28"/>
  <c r="BG87" i="28"/>
  <c r="BK87" i="28" s="1"/>
  <c r="AQ87" i="28"/>
  <c r="AO87" i="28"/>
  <c r="AK87" i="28"/>
  <c r="AI87" i="28"/>
  <c r="AE87" i="28"/>
  <c r="AC87" i="28"/>
  <c r="Y87" i="28"/>
  <c r="W87" i="28"/>
  <c r="S87" i="28"/>
  <c r="Q87" i="28"/>
  <c r="M87" i="28"/>
  <c r="K87" i="28"/>
  <c r="G87" i="28"/>
  <c r="E87" i="28"/>
  <c r="I87" i="28" s="1"/>
  <c r="D87" i="28"/>
  <c r="BP86" i="28"/>
  <c r="BN86" i="28"/>
  <c r="BI86" i="28"/>
  <c r="BG86" i="28"/>
  <c r="AQ86" i="28"/>
  <c r="AO86" i="28"/>
  <c r="AS86" i="28" s="1"/>
  <c r="AK86" i="28"/>
  <c r="AI86" i="28"/>
  <c r="AM86" i="28" s="1"/>
  <c r="AE86" i="28"/>
  <c r="AC86" i="28"/>
  <c r="Y86" i="28"/>
  <c r="W86" i="28"/>
  <c r="S86" i="28"/>
  <c r="Q86" i="28"/>
  <c r="M86" i="28"/>
  <c r="K86" i="28"/>
  <c r="O86" i="28" s="1"/>
  <c r="G86" i="28"/>
  <c r="E86" i="28"/>
  <c r="I86" i="28" s="1"/>
  <c r="D86" i="28"/>
  <c r="BP85" i="28"/>
  <c r="BN85" i="28"/>
  <c r="BI85" i="28"/>
  <c r="BG85" i="28"/>
  <c r="AQ85" i="28"/>
  <c r="AO85" i="28"/>
  <c r="AK85" i="28"/>
  <c r="AI85" i="28"/>
  <c r="AE85" i="28"/>
  <c r="AC85" i="28"/>
  <c r="Y85" i="28"/>
  <c r="W85" i="28"/>
  <c r="AA85" i="28" s="1"/>
  <c r="S85" i="28"/>
  <c r="Q85" i="28"/>
  <c r="Q83" i="28" s="1"/>
  <c r="M85" i="28"/>
  <c r="K85" i="28"/>
  <c r="O85" i="28" s="1"/>
  <c r="G85" i="28"/>
  <c r="E85" i="28"/>
  <c r="D85" i="28"/>
  <c r="BP84" i="28"/>
  <c r="BN84" i="28"/>
  <c r="BI84" i="28"/>
  <c r="BG84" i="28"/>
  <c r="BK84" i="28" s="1"/>
  <c r="AQ84" i="28"/>
  <c r="AO84" i="28"/>
  <c r="AK84" i="28"/>
  <c r="AI84" i="28"/>
  <c r="AE84" i="28"/>
  <c r="AC84" i="28"/>
  <c r="Y84" i="28"/>
  <c r="W84" i="28"/>
  <c r="S84" i="28"/>
  <c r="Q84" i="28"/>
  <c r="M84" i="28"/>
  <c r="K84" i="28"/>
  <c r="O84" i="28" s="1"/>
  <c r="G84" i="28"/>
  <c r="E84" i="28"/>
  <c r="I84" i="28" s="1"/>
  <c r="D84" i="28"/>
  <c r="D83" i="28"/>
  <c r="BP82" i="28"/>
  <c r="BN82" i="28"/>
  <c r="BI82" i="28"/>
  <c r="BG82" i="28"/>
  <c r="AQ82" i="28"/>
  <c r="AO82" i="28"/>
  <c r="AK82" i="28"/>
  <c r="AI82" i="28"/>
  <c r="AE82" i="28"/>
  <c r="AC82" i="28"/>
  <c r="AG82" i="28" s="1"/>
  <c r="Y82" i="28"/>
  <c r="W82" i="28"/>
  <c r="S82" i="28"/>
  <c r="Q82" i="28"/>
  <c r="M82" i="28"/>
  <c r="K82" i="28"/>
  <c r="G82" i="28"/>
  <c r="E82" i="28"/>
  <c r="I82" i="28" s="1"/>
  <c r="D82" i="28"/>
  <c r="BP81" i="28"/>
  <c r="BN81" i="28"/>
  <c r="BR81" i="28" s="1"/>
  <c r="BI81" i="28"/>
  <c r="BG81" i="28"/>
  <c r="BK81" i="28" s="1"/>
  <c r="AS81" i="28"/>
  <c r="AQ81" i="28"/>
  <c r="AO81" i="28"/>
  <c r="AK81" i="28"/>
  <c r="AI81" i="28"/>
  <c r="AE81" i="28"/>
  <c r="AC81" i="28"/>
  <c r="Y81" i="28"/>
  <c r="Y109" i="28" s="1"/>
  <c r="W81" i="28"/>
  <c r="AU81" i="28" s="1"/>
  <c r="S81" i="28"/>
  <c r="BC81" i="28" s="1"/>
  <c r="Q81" i="28"/>
  <c r="BA81" i="28" s="1"/>
  <c r="M81" i="28"/>
  <c r="K81" i="28"/>
  <c r="G81" i="28"/>
  <c r="E81" i="28"/>
  <c r="D81" i="28"/>
  <c r="BP80" i="28"/>
  <c r="BN80" i="28"/>
  <c r="BR80" i="28" s="1"/>
  <c r="BI80" i="28"/>
  <c r="BG80" i="28"/>
  <c r="AQ80" i="28"/>
  <c r="AO80" i="28"/>
  <c r="AS80" i="28" s="1"/>
  <c r="AK80" i="28"/>
  <c r="AI80" i="28"/>
  <c r="AE80" i="28"/>
  <c r="AG80" i="28" s="1"/>
  <c r="AC80" i="28"/>
  <c r="Y80" i="28"/>
  <c r="W80" i="28"/>
  <c r="S80" i="28"/>
  <c r="Q80" i="28"/>
  <c r="M80" i="28"/>
  <c r="K80" i="28"/>
  <c r="G80" i="28"/>
  <c r="E80" i="28"/>
  <c r="I80" i="28" s="1"/>
  <c r="D80" i="28"/>
  <c r="BP79" i="28"/>
  <c r="BN79" i="28"/>
  <c r="BI79" i="28"/>
  <c r="BG79" i="28"/>
  <c r="AQ79" i="28"/>
  <c r="AO79" i="28"/>
  <c r="AK79" i="28"/>
  <c r="AI79" i="28"/>
  <c r="AM79" i="28" s="1"/>
  <c r="AE79" i="28"/>
  <c r="AC79" i="28"/>
  <c r="Y79" i="28"/>
  <c r="W79" i="28"/>
  <c r="S79" i="28"/>
  <c r="Q79" i="28"/>
  <c r="M79" i="28"/>
  <c r="K79" i="28"/>
  <c r="G79" i="28"/>
  <c r="E79" i="28"/>
  <c r="D79" i="28"/>
  <c r="BP78" i="28"/>
  <c r="BN78" i="28"/>
  <c r="BR78" i="28" s="1"/>
  <c r="BI78" i="28"/>
  <c r="BG78" i="28"/>
  <c r="AQ78" i="28"/>
  <c r="AO78" i="28"/>
  <c r="AK78" i="28"/>
  <c r="AI78" i="28"/>
  <c r="AE78" i="28"/>
  <c r="AC78" i="28"/>
  <c r="Y78" i="28"/>
  <c r="W78" i="28"/>
  <c r="S78" i="28"/>
  <c r="Q78" i="28"/>
  <c r="M78" i="28"/>
  <c r="K78" i="28"/>
  <c r="G78" i="28"/>
  <c r="E78" i="28"/>
  <c r="I78" i="28" s="1"/>
  <c r="D78" i="28"/>
  <c r="BP77" i="28"/>
  <c r="BN77" i="28"/>
  <c r="BI77" i="28"/>
  <c r="BG77" i="28"/>
  <c r="AQ77" i="28"/>
  <c r="BC77" i="28" s="1"/>
  <c r="AO77" i="28"/>
  <c r="AS77" i="28" s="1"/>
  <c r="AK77" i="28"/>
  <c r="AI77" i="28"/>
  <c r="AE77" i="28"/>
  <c r="AC77" i="28"/>
  <c r="Y77" i="28"/>
  <c r="W77" i="28"/>
  <c r="S77" i="28"/>
  <c r="Q77" i="28"/>
  <c r="M77" i="28"/>
  <c r="K77" i="28"/>
  <c r="O77" i="28" s="1"/>
  <c r="G77" i="28"/>
  <c r="E77" i="28"/>
  <c r="I77" i="28" s="1"/>
  <c r="D77" i="28"/>
  <c r="BP76" i="28"/>
  <c r="BN76" i="28"/>
  <c r="BI76" i="28"/>
  <c r="BG76" i="28"/>
  <c r="AQ76" i="28"/>
  <c r="AO76" i="28"/>
  <c r="AS76" i="28" s="1"/>
  <c r="AK76" i="28"/>
  <c r="AI76" i="28"/>
  <c r="AE76" i="28"/>
  <c r="AC76" i="28"/>
  <c r="AG76" i="28" s="1"/>
  <c r="Y76" i="28"/>
  <c r="W76" i="28"/>
  <c r="AA76" i="28" s="1"/>
  <c r="S76" i="28"/>
  <c r="Q76" i="28"/>
  <c r="M76" i="28"/>
  <c r="K76" i="28"/>
  <c r="G76" i="28"/>
  <c r="E76" i="28"/>
  <c r="I76" i="28" s="1"/>
  <c r="D76" i="28"/>
  <c r="BP75" i="28"/>
  <c r="BN75" i="28"/>
  <c r="BR75" i="28" s="1"/>
  <c r="BI75" i="28"/>
  <c r="BG75" i="28"/>
  <c r="AQ75" i="28"/>
  <c r="AO75" i="28"/>
  <c r="AK75" i="28"/>
  <c r="AI75" i="28"/>
  <c r="AE75" i="28"/>
  <c r="AC75" i="28"/>
  <c r="AG75" i="28" s="1"/>
  <c r="Y75" i="28"/>
  <c r="W75" i="28"/>
  <c r="AA75" i="28" s="1"/>
  <c r="S75" i="28"/>
  <c r="Q75" i="28"/>
  <c r="M75" i="28"/>
  <c r="K75" i="28"/>
  <c r="G75" i="28"/>
  <c r="E75" i="28"/>
  <c r="I75" i="28" s="1"/>
  <c r="BP74" i="28"/>
  <c r="BN74" i="28"/>
  <c r="BI74" i="28"/>
  <c r="BG74" i="28"/>
  <c r="AQ74" i="28"/>
  <c r="BC74" i="28" s="1"/>
  <c r="AO74" i="28"/>
  <c r="AK74" i="28"/>
  <c r="AI74" i="28"/>
  <c r="AM74" i="28" s="1"/>
  <c r="AE74" i="28"/>
  <c r="AC74" i="28"/>
  <c r="Y74" i="28"/>
  <c r="W74" i="28"/>
  <c r="S74" i="28"/>
  <c r="Q74" i="28"/>
  <c r="M74" i="28"/>
  <c r="K74" i="28"/>
  <c r="O74" i="28" s="1"/>
  <c r="G74" i="28"/>
  <c r="E74" i="28"/>
  <c r="D74" i="28"/>
  <c r="BP73" i="28"/>
  <c r="BN73" i="28"/>
  <c r="BI73" i="28"/>
  <c r="BG73" i="28"/>
  <c r="BK73" i="28" s="1"/>
  <c r="AQ73" i="28"/>
  <c r="AO73" i="28"/>
  <c r="AK73" i="28"/>
  <c r="AI73" i="28"/>
  <c r="AE73" i="28"/>
  <c r="AC73" i="28"/>
  <c r="Y73" i="28"/>
  <c r="W73" i="28"/>
  <c r="AA73" i="28" s="1"/>
  <c r="S73" i="28"/>
  <c r="Q73" i="28"/>
  <c r="M73" i="28"/>
  <c r="K73" i="28"/>
  <c r="G73" i="28"/>
  <c r="E73" i="28"/>
  <c r="D73" i="28"/>
  <c r="BP72" i="28"/>
  <c r="BN72" i="28"/>
  <c r="BR72" i="28" s="1"/>
  <c r="BI72" i="28"/>
  <c r="BG72" i="28"/>
  <c r="AQ72" i="28"/>
  <c r="AO72" i="28"/>
  <c r="AS72" i="28" s="1"/>
  <c r="AK72" i="28"/>
  <c r="AI72" i="28"/>
  <c r="AE72" i="28"/>
  <c r="AC72" i="28"/>
  <c r="AG72" i="28" s="1"/>
  <c r="Y72" i="28"/>
  <c r="W72" i="28"/>
  <c r="S72" i="28"/>
  <c r="Q72" i="28"/>
  <c r="M72" i="28"/>
  <c r="K72" i="28"/>
  <c r="G72" i="28"/>
  <c r="E72" i="28"/>
  <c r="D72" i="28"/>
  <c r="BP71" i="28"/>
  <c r="BN71" i="28"/>
  <c r="BI71" i="28"/>
  <c r="BG71" i="28"/>
  <c r="AQ71" i="28"/>
  <c r="AO71" i="28"/>
  <c r="AS71" i="28" s="1"/>
  <c r="AK71" i="28"/>
  <c r="AI71" i="28"/>
  <c r="AE71" i="28"/>
  <c r="AC71" i="28"/>
  <c r="Y71" i="28"/>
  <c r="W71" i="28"/>
  <c r="S71" i="28"/>
  <c r="Q71" i="28"/>
  <c r="M71" i="28"/>
  <c r="K71" i="28"/>
  <c r="G71" i="28"/>
  <c r="E71" i="28"/>
  <c r="D71" i="28"/>
  <c r="BP70" i="28"/>
  <c r="BN70" i="28"/>
  <c r="BI70" i="28"/>
  <c r="BG70" i="28"/>
  <c r="AQ70" i="28"/>
  <c r="AO70" i="28"/>
  <c r="AO69" i="28" s="1"/>
  <c r="AK70" i="28"/>
  <c r="AI70" i="28"/>
  <c r="AE70" i="28"/>
  <c r="AE69" i="28" s="1"/>
  <c r="AC70" i="28"/>
  <c r="AC69" i="28" s="1"/>
  <c r="Y70" i="28"/>
  <c r="W70" i="28"/>
  <c r="S70" i="28"/>
  <c r="Q70" i="28"/>
  <c r="Q69" i="28" s="1"/>
  <c r="M70" i="28"/>
  <c r="M69" i="28" s="1"/>
  <c r="K70" i="28"/>
  <c r="O70" i="28" s="1"/>
  <c r="G70" i="28"/>
  <c r="E70" i="28"/>
  <c r="BP68" i="28"/>
  <c r="BN68" i="28"/>
  <c r="BI68" i="28"/>
  <c r="BG68" i="28"/>
  <c r="BK68" i="28" s="1"/>
  <c r="AQ68" i="28"/>
  <c r="AO68" i="28"/>
  <c r="AK68" i="28"/>
  <c r="AI68" i="28"/>
  <c r="AM68" i="28" s="1"/>
  <c r="AE68" i="28"/>
  <c r="AC68" i="28"/>
  <c r="Y68" i="28"/>
  <c r="W68" i="28"/>
  <c r="S68" i="28"/>
  <c r="Q68" i="28"/>
  <c r="M68" i="28"/>
  <c r="K68" i="28"/>
  <c r="G68" i="28"/>
  <c r="E68" i="28"/>
  <c r="D68" i="28"/>
  <c r="BP67" i="28"/>
  <c r="BN67" i="28"/>
  <c r="BI67" i="28"/>
  <c r="BG67" i="28"/>
  <c r="AQ67" i="28"/>
  <c r="AO67" i="28"/>
  <c r="AK67" i="28"/>
  <c r="AI67" i="28"/>
  <c r="AE67" i="28"/>
  <c r="AC67" i="28"/>
  <c r="Y67" i="28"/>
  <c r="W67" i="28"/>
  <c r="S67" i="28"/>
  <c r="Q67" i="28"/>
  <c r="M67" i="28"/>
  <c r="K67" i="28"/>
  <c r="G67" i="28"/>
  <c r="E67" i="28"/>
  <c r="D67" i="28"/>
  <c r="BP66" i="28"/>
  <c r="BN66" i="28"/>
  <c r="BI66" i="28"/>
  <c r="BG66" i="28"/>
  <c r="BG111" i="28" s="1"/>
  <c r="AQ66" i="28"/>
  <c r="AQ111" i="28" s="1"/>
  <c r="AO66" i="28"/>
  <c r="AK66" i="28"/>
  <c r="AI66" i="28"/>
  <c r="AE66" i="28"/>
  <c r="AC66" i="28"/>
  <c r="Y66" i="28"/>
  <c r="W66" i="28"/>
  <c r="S66" i="28"/>
  <c r="Q66" i="28"/>
  <c r="U66" i="28" s="1"/>
  <c r="M66" i="28"/>
  <c r="M111" i="28" s="1"/>
  <c r="K66" i="28"/>
  <c r="K111" i="28" s="1"/>
  <c r="G66" i="28"/>
  <c r="E66" i="28"/>
  <c r="D66" i="28"/>
  <c r="BP65" i="28"/>
  <c r="BN65" i="28"/>
  <c r="BI65" i="28"/>
  <c r="BG65" i="28"/>
  <c r="AQ65" i="28"/>
  <c r="AO65" i="28"/>
  <c r="AK65" i="28"/>
  <c r="AI65" i="28"/>
  <c r="AE65" i="28"/>
  <c r="AC65" i="28"/>
  <c r="AC110" i="28" s="1"/>
  <c r="Y65" i="28"/>
  <c r="W65" i="28"/>
  <c r="S65" i="28"/>
  <c r="Q65" i="28"/>
  <c r="M65" i="28"/>
  <c r="K65" i="28"/>
  <c r="G65" i="28"/>
  <c r="E65" i="28"/>
  <c r="D65" i="28"/>
  <c r="BP64" i="28"/>
  <c r="BN64" i="28"/>
  <c r="BI64" i="28"/>
  <c r="BG64" i="28"/>
  <c r="AQ64" i="28"/>
  <c r="AQ109" i="28" s="1"/>
  <c r="AO64" i="28"/>
  <c r="AK64" i="28"/>
  <c r="AI64" i="28"/>
  <c r="AE64" i="28"/>
  <c r="AC64" i="28"/>
  <c r="Y64" i="28"/>
  <c r="W64" i="28"/>
  <c r="S64" i="28"/>
  <c r="Q64" i="28"/>
  <c r="U64" i="28" s="1"/>
  <c r="M64" i="28"/>
  <c r="K64" i="28"/>
  <c r="K109" i="28" s="1"/>
  <c r="G64" i="28"/>
  <c r="E64" i="28"/>
  <c r="D64" i="28"/>
  <c r="BP63" i="28"/>
  <c r="BN63" i="28"/>
  <c r="BR63" i="28" s="1"/>
  <c r="BI63" i="28"/>
  <c r="BG63" i="28"/>
  <c r="AQ63" i="28"/>
  <c r="AO63" i="28"/>
  <c r="AS63" i="28" s="1"/>
  <c r="AK63" i="28"/>
  <c r="AI63" i="28"/>
  <c r="AE63" i="28"/>
  <c r="AC63" i="28"/>
  <c r="Y63" i="28"/>
  <c r="W63" i="28"/>
  <c r="S63" i="28"/>
  <c r="Q63" i="28"/>
  <c r="M63" i="28"/>
  <c r="K63" i="28"/>
  <c r="G63" i="28"/>
  <c r="E63" i="28"/>
  <c r="I63" i="28" s="1"/>
  <c r="D63" i="28"/>
  <c r="BP62" i="28"/>
  <c r="BN62" i="28"/>
  <c r="BI62" i="28"/>
  <c r="BG62" i="28"/>
  <c r="AQ62" i="28"/>
  <c r="AO62" i="28"/>
  <c r="AK62" i="28"/>
  <c r="AI62" i="28"/>
  <c r="AE62" i="28"/>
  <c r="AC62" i="28"/>
  <c r="AG62" i="28" s="1"/>
  <c r="Y62" i="28"/>
  <c r="W62" i="28"/>
  <c r="AA62" i="28" s="1"/>
  <c r="S62" i="28"/>
  <c r="Q62" i="28"/>
  <c r="U62" i="28" s="1"/>
  <c r="M62" i="28"/>
  <c r="K62" i="28"/>
  <c r="G62" i="28"/>
  <c r="E62" i="28"/>
  <c r="D62" i="28"/>
  <c r="BP61" i="28"/>
  <c r="BN61" i="28"/>
  <c r="BI61" i="28"/>
  <c r="BG61" i="28"/>
  <c r="AQ61" i="28"/>
  <c r="AO61" i="28"/>
  <c r="AS61" i="28" s="1"/>
  <c r="AK61" i="28"/>
  <c r="AI61" i="28"/>
  <c r="AE61" i="28"/>
  <c r="AC61" i="28"/>
  <c r="AG61" i="28" s="1"/>
  <c r="Y61" i="28"/>
  <c r="W61" i="28"/>
  <c r="S61" i="28"/>
  <c r="Q61" i="28"/>
  <c r="M61" i="28"/>
  <c r="K61" i="28"/>
  <c r="G61" i="28"/>
  <c r="E61" i="28"/>
  <c r="I61" i="28" s="1"/>
  <c r="D61" i="28"/>
  <c r="BP60" i="28"/>
  <c r="BN60" i="28"/>
  <c r="BI60" i="28"/>
  <c r="BG60" i="28"/>
  <c r="AQ60" i="28"/>
  <c r="AO60" i="28"/>
  <c r="AS60" i="28" s="1"/>
  <c r="AK60" i="28"/>
  <c r="AI60" i="28"/>
  <c r="AE60" i="28"/>
  <c r="AC60" i="28"/>
  <c r="Y60" i="28"/>
  <c r="W60" i="28"/>
  <c r="S60" i="28"/>
  <c r="Q60" i="28"/>
  <c r="M60" i="28"/>
  <c r="K60" i="28"/>
  <c r="G60" i="28"/>
  <c r="E60" i="28"/>
  <c r="D60" i="28"/>
  <c r="D59" i="28"/>
  <c r="BP58" i="28"/>
  <c r="BN58" i="28"/>
  <c r="BR58" i="28" s="1"/>
  <c r="BI58" i="28"/>
  <c r="BG58" i="28"/>
  <c r="AQ58" i="28"/>
  <c r="AO58" i="28"/>
  <c r="AK58" i="28"/>
  <c r="AI58" i="28"/>
  <c r="AE58" i="28"/>
  <c r="AC58" i="28"/>
  <c r="AG58" i="28" s="1"/>
  <c r="Y58" i="28"/>
  <c r="W58" i="28"/>
  <c r="S58" i="28"/>
  <c r="Q58" i="28"/>
  <c r="U58" i="28" s="1"/>
  <c r="M58" i="28"/>
  <c r="K58" i="28"/>
  <c r="G58" i="28"/>
  <c r="E58" i="28"/>
  <c r="D58" i="28"/>
  <c r="BP57" i="28"/>
  <c r="BN57" i="28"/>
  <c r="BI57" i="28"/>
  <c r="BG57" i="28"/>
  <c r="AQ57" i="28"/>
  <c r="AO57" i="28"/>
  <c r="BA57" i="28" s="1"/>
  <c r="AK57" i="28"/>
  <c r="AI57" i="28"/>
  <c r="AE57" i="28"/>
  <c r="AC57" i="28"/>
  <c r="Y57" i="28"/>
  <c r="W57" i="28"/>
  <c r="AA57" i="28" s="1"/>
  <c r="S57" i="28"/>
  <c r="Q57" i="28"/>
  <c r="U57" i="28" s="1"/>
  <c r="M57" i="28"/>
  <c r="K57" i="28"/>
  <c r="O57" i="28" s="1"/>
  <c r="G57" i="28"/>
  <c r="E57" i="28"/>
  <c r="D57" i="28"/>
  <c r="BP56" i="28"/>
  <c r="BN56" i="28"/>
  <c r="BI56" i="28"/>
  <c r="BG56" i="28"/>
  <c r="AQ56" i="28"/>
  <c r="AO56" i="28"/>
  <c r="AK56" i="28"/>
  <c r="AI56" i="28"/>
  <c r="AM56" i="28" s="1"/>
  <c r="AE56" i="28"/>
  <c r="AC56" i="28"/>
  <c r="Y56" i="28"/>
  <c r="AW56" i="28" s="1"/>
  <c r="W56" i="28"/>
  <c r="S56" i="28"/>
  <c r="Q56" i="28"/>
  <c r="M56" i="28"/>
  <c r="K56" i="28"/>
  <c r="G56" i="28"/>
  <c r="E56" i="28"/>
  <c r="D56" i="28"/>
  <c r="BI55" i="28"/>
  <c r="BG55" i="28"/>
  <c r="AC55" i="28"/>
  <c r="Y55" i="28"/>
  <c r="W55" i="28"/>
  <c r="D55" i="28"/>
  <c r="S54" i="28"/>
  <c r="Q54" i="28"/>
  <c r="M54" i="28"/>
  <c r="K54" i="28"/>
  <c r="G54" i="28"/>
  <c r="E54" i="28"/>
  <c r="I54" i="28" s="1"/>
  <c r="S53" i="28"/>
  <c r="Q53" i="28"/>
  <c r="M53" i="28"/>
  <c r="K53" i="28"/>
  <c r="G53" i="28"/>
  <c r="E53" i="28"/>
  <c r="S52" i="28"/>
  <c r="Q52" i="28"/>
  <c r="U52" i="28" s="1"/>
  <c r="M52" i="28"/>
  <c r="K52" i="28"/>
  <c r="G52" i="28"/>
  <c r="E52" i="28"/>
  <c r="S51" i="28"/>
  <c r="Q51" i="28"/>
  <c r="M51" i="28"/>
  <c r="K51" i="28"/>
  <c r="O51" i="28" s="1"/>
  <c r="G51" i="28"/>
  <c r="E51" i="28"/>
  <c r="BP50" i="28"/>
  <c r="BN50" i="28"/>
  <c r="BI50" i="28"/>
  <c r="BG50" i="28"/>
  <c r="AQ50" i="28"/>
  <c r="AO50" i="28"/>
  <c r="AS50" i="28" s="1"/>
  <c r="AK50" i="28"/>
  <c r="AI50" i="28"/>
  <c r="AE50" i="28"/>
  <c r="AC50" i="28"/>
  <c r="Y50" i="28"/>
  <c r="AW50" i="28" s="1"/>
  <c r="W50" i="28"/>
  <c r="AA50" i="28" s="1"/>
  <c r="S50" i="28"/>
  <c r="Q50" i="28"/>
  <c r="M50" i="28"/>
  <c r="K50" i="28"/>
  <c r="G50" i="28"/>
  <c r="E50" i="28"/>
  <c r="I50" i="28" s="1"/>
  <c r="BP49" i="28"/>
  <c r="BN49" i="28"/>
  <c r="BR49" i="28" s="1"/>
  <c r="BI49" i="28"/>
  <c r="BG49" i="28"/>
  <c r="BK49" i="28" s="1"/>
  <c r="BA49" i="28"/>
  <c r="AQ49" i="28"/>
  <c r="AO49" i="28"/>
  <c r="AK49" i="28"/>
  <c r="AI49" i="28"/>
  <c r="AE49" i="28"/>
  <c r="AC49" i="28"/>
  <c r="Y49" i="28"/>
  <c r="W49" i="28"/>
  <c r="S49" i="28"/>
  <c r="Q49" i="28"/>
  <c r="M49" i="28"/>
  <c r="K49" i="28"/>
  <c r="O49" i="28" s="1"/>
  <c r="G49" i="28"/>
  <c r="I49" i="28" s="1"/>
  <c r="E49" i="28"/>
  <c r="D49" i="28"/>
  <c r="BP48" i="28"/>
  <c r="BN48" i="28"/>
  <c r="BR48" i="28" s="1"/>
  <c r="BI48" i="28"/>
  <c r="BG48" i="28"/>
  <c r="BK48" i="28" s="1"/>
  <c r="AQ48" i="28"/>
  <c r="AO48" i="28"/>
  <c r="BA48" i="28" s="1"/>
  <c r="AK48" i="28"/>
  <c r="AI48" i="28"/>
  <c r="AE48" i="28"/>
  <c r="AC48" i="28"/>
  <c r="Y48" i="28"/>
  <c r="W48" i="28"/>
  <c r="S48" i="28"/>
  <c r="Q48" i="28"/>
  <c r="M48" i="28"/>
  <c r="K48" i="28"/>
  <c r="G48" i="28"/>
  <c r="E48" i="28"/>
  <c r="I48" i="28" s="1"/>
  <c r="BQ47" i="28"/>
  <c r="BJ47" i="28"/>
  <c r="BD47" i="28"/>
  <c r="AX47" i="28"/>
  <c r="AR47" i="28"/>
  <c r="AL47" i="28"/>
  <c r="AF47" i="28"/>
  <c r="Z47" i="28"/>
  <c r="T47" i="28"/>
  <c r="N47" i="28"/>
  <c r="H47" i="28"/>
  <c r="BP46" i="28"/>
  <c r="BN46" i="28"/>
  <c r="BI46" i="28"/>
  <c r="BG46" i="28"/>
  <c r="AQ46" i="28"/>
  <c r="AO46" i="28"/>
  <c r="AK46" i="28"/>
  <c r="AI46" i="28"/>
  <c r="AE46" i="28"/>
  <c r="AC46" i="28"/>
  <c r="Y46" i="28"/>
  <c r="W46" i="28"/>
  <c r="S46" i="28"/>
  <c r="Q46" i="28"/>
  <c r="U46" i="28" s="1"/>
  <c r="M46" i="28"/>
  <c r="K46" i="28"/>
  <c r="O46" i="28" s="1"/>
  <c r="G46" i="28"/>
  <c r="E46" i="28"/>
  <c r="D46" i="28"/>
  <c r="BP45" i="28"/>
  <c r="BN45" i="28"/>
  <c r="BI45" i="28"/>
  <c r="BG45" i="28"/>
  <c r="BK45" i="28" s="1"/>
  <c r="AQ45" i="28"/>
  <c r="AO45" i="28"/>
  <c r="AK45" i="28"/>
  <c r="AI45" i="28"/>
  <c r="AE45" i="28"/>
  <c r="AC45" i="28"/>
  <c r="Y45" i="28"/>
  <c r="W45" i="28"/>
  <c r="S45" i="28"/>
  <c r="Q45" i="28"/>
  <c r="M45" i="28"/>
  <c r="K45" i="28"/>
  <c r="G45" i="28"/>
  <c r="E45" i="28"/>
  <c r="D45" i="28"/>
  <c r="BP44" i="28"/>
  <c r="BN44" i="28"/>
  <c r="BI44" i="28"/>
  <c r="BG44" i="28"/>
  <c r="AQ44" i="28"/>
  <c r="AO44" i="28"/>
  <c r="AK44" i="28"/>
  <c r="AI44" i="28"/>
  <c r="AE44" i="28"/>
  <c r="AC44" i="28"/>
  <c r="Y44" i="28"/>
  <c r="W44" i="28"/>
  <c r="S44" i="28"/>
  <c r="BC44" i="28" s="1"/>
  <c r="Q44" i="28"/>
  <c r="M44" i="28"/>
  <c r="K44" i="28"/>
  <c r="G44" i="28"/>
  <c r="E44" i="28"/>
  <c r="BP43" i="28"/>
  <c r="BN43" i="28"/>
  <c r="BI43" i="28"/>
  <c r="BG43" i="28"/>
  <c r="AQ43" i="28"/>
  <c r="BC43" i="28" s="1"/>
  <c r="AO43" i="28"/>
  <c r="AK43" i="28"/>
  <c r="AI43" i="28"/>
  <c r="AE43" i="28"/>
  <c r="AC43" i="28"/>
  <c r="Y43" i="28"/>
  <c r="W43" i="28"/>
  <c r="S43" i="28"/>
  <c r="Q43" i="28"/>
  <c r="U43" i="28" s="1"/>
  <c r="M43" i="28"/>
  <c r="K43" i="28"/>
  <c r="O43" i="28" s="1"/>
  <c r="G43" i="28"/>
  <c r="E43" i="28"/>
  <c r="D43" i="28"/>
  <c r="BP42" i="28"/>
  <c r="BN42" i="28"/>
  <c r="BI42" i="28"/>
  <c r="BG42" i="28"/>
  <c r="AQ42" i="28"/>
  <c r="AO42" i="28"/>
  <c r="AK42" i="28"/>
  <c r="AI42" i="28"/>
  <c r="AM42" i="28" s="1"/>
  <c r="AE42" i="28"/>
  <c r="AC42" i="28"/>
  <c r="Y42" i="28"/>
  <c r="W42" i="28"/>
  <c r="S42" i="28"/>
  <c r="Q42" i="28"/>
  <c r="M42" i="28"/>
  <c r="K42" i="28"/>
  <c r="G42" i="28"/>
  <c r="E42" i="28"/>
  <c r="I42" i="28" s="1"/>
  <c r="D42" i="28"/>
  <c r="S40" i="28"/>
  <c r="Q40" i="28"/>
  <c r="U40" i="28" s="1"/>
  <c r="M40" i="28"/>
  <c r="K40" i="28"/>
  <c r="G40" i="28"/>
  <c r="E40" i="28"/>
  <c r="BP39" i="28"/>
  <c r="BN39" i="28"/>
  <c r="BI39" i="28"/>
  <c r="BG39" i="28"/>
  <c r="AQ39" i="28"/>
  <c r="AO39" i="28"/>
  <c r="AK39" i="28"/>
  <c r="AI39" i="28"/>
  <c r="AE39" i="28"/>
  <c r="AC39" i="28"/>
  <c r="Y39" i="28"/>
  <c r="W39" i="28"/>
  <c r="S39" i="28"/>
  <c r="Q39" i="28"/>
  <c r="M39" i="28"/>
  <c r="K39" i="28"/>
  <c r="G39" i="28"/>
  <c r="E39" i="28"/>
  <c r="I39" i="28" s="1"/>
  <c r="BP38" i="28"/>
  <c r="BN38" i="28"/>
  <c r="BI38" i="28"/>
  <c r="BG38" i="28"/>
  <c r="BK38" i="28" s="1"/>
  <c r="AQ38" i="28"/>
  <c r="AO38" i="28"/>
  <c r="AK38" i="28"/>
  <c r="AI38" i="28"/>
  <c r="AE38" i="28"/>
  <c r="AC38" i="28"/>
  <c r="Y38" i="28"/>
  <c r="W38" i="28"/>
  <c r="S38" i="28"/>
  <c r="Q38" i="28"/>
  <c r="M38" i="28"/>
  <c r="K38" i="28"/>
  <c r="G38" i="28"/>
  <c r="E38" i="28"/>
  <c r="D38" i="28"/>
  <c r="BP37" i="28"/>
  <c r="BN37" i="28"/>
  <c r="BR37" i="28" s="1"/>
  <c r="BI37" i="28"/>
  <c r="BG37" i="28"/>
  <c r="BK37" i="28" s="1"/>
  <c r="AQ37" i="28"/>
  <c r="AO37" i="28"/>
  <c r="AK37" i="28"/>
  <c r="AI37" i="28"/>
  <c r="AE37" i="28"/>
  <c r="AC37" i="28"/>
  <c r="Y37" i="28"/>
  <c r="W37" i="28"/>
  <c r="S37" i="28"/>
  <c r="Q37" i="28"/>
  <c r="M37" i="28"/>
  <c r="K37" i="28"/>
  <c r="G37" i="28"/>
  <c r="E37" i="28"/>
  <c r="D37" i="28"/>
  <c r="BP36" i="28"/>
  <c r="BN36" i="28"/>
  <c r="BR36" i="28" s="1"/>
  <c r="BI36" i="28"/>
  <c r="BG36" i="28"/>
  <c r="BK36" i="28" s="1"/>
  <c r="AQ36" i="28"/>
  <c r="AO36" i="28"/>
  <c r="AK36" i="28"/>
  <c r="AI36" i="28"/>
  <c r="AE36" i="28"/>
  <c r="AC36" i="28"/>
  <c r="Y36" i="28"/>
  <c r="W36" i="28"/>
  <c r="S36" i="28"/>
  <c r="Q36" i="28"/>
  <c r="M36" i="28"/>
  <c r="K36" i="28"/>
  <c r="G36" i="28"/>
  <c r="E36" i="28"/>
  <c r="D36" i="28"/>
  <c r="BP35" i="28"/>
  <c r="BN35" i="28"/>
  <c r="BI35" i="28"/>
  <c r="BG35" i="28"/>
  <c r="AQ35" i="28"/>
  <c r="AO35" i="28"/>
  <c r="AK35" i="28"/>
  <c r="AI35" i="28"/>
  <c r="AE35" i="28"/>
  <c r="AE34" i="28" s="1"/>
  <c r="AC35" i="28"/>
  <c r="AG35" i="28" s="1"/>
  <c r="Y35" i="28"/>
  <c r="W35" i="28"/>
  <c r="S35" i="28"/>
  <c r="Q35" i="28"/>
  <c r="M35" i="28"/>
  <c r="K35" i="28"/>
  <c r="G35" i="28"/>
  <c r="E35" i="28"/>
  <c r="I35" i="28" s="1"/>
  <c r="BP33" i="28"/>
  <c r="BN33" i="28"/>
  <c r="BI33" i="28"/>
  <c r="BK33" i="28" s="1"/>
  <c r="BG33" i="28"/>
  <c r="AQ33" i="28"/>
  <c r="AO33" i="28"/>
  <c r="AK33" i="28"/>
  <c r="AI33" i="28"/>
  <c r="AM33" i="28" s="1"/>
  <c r="AE33" i="28"/>
  <c r="AC33" i="28"/>
  <c r="Y33" i="28"/>
  <c r="W33" i="28"/>
  <c r="S33" i="28"/>
  <c r="Q33" i="28"/>
  <c r="M33" i="28"/>
  <c r="K33" i="28"/>
  <c r="G33" i="28"/>
  <c r="E33" i="28"/>
  <c r="D33" i="28"/>
  <c r="BP32" i="28"/>
  <c r="BN32" i="28"/>
  <c r="BI32" i="28"/>
  <c r="BG32" i="28"/>
  <c r="AQ32" i="28"/>
  <c r="AO32" i="28"/>
  <c r="AK32" i="28"/>
  <c r="AI32" i="28"/>
  <c r="AE32" i="28"/>
  <c r="AC32" i="28"/>
  <c r="Y32" i="28"/>
  <c r="W32" i="28"/>
  <c r="S32" i="28"/>
  <c r="Q32" i="28"/>
  <c r="U32" i="28" s="1"/>
  <c r="M32" i="28"/>
  <c r="K32" i="28"/>
  <c r="G32" i="28"/>
  <c r="E32" i="28"/>
  <c r="D32" i="28"/>
  <c r="BP31" i="28"/>
  <c r="BN31" i="28"/>
  <c r="BI31" i="28"/>
  <c r="BG31" i="28"/>
  <c r="AQ31" i="28"/>
  <c r="AO31" i="28"/>
  <c r="AK31" i="28"/>
  <c r="AI31" i="28"/>
  <c r="AE31" i="28"/>
  <c r="AC31" i="28"/>
  <c r="Y31" i="28"/>
  <c r="W31" i="28"/>
  <c r="S31" i="28"/>
  <c r="Q31" i="28"/>
  <c r="M31" i="28"/>
  <c r="K31" i="28"/>
  <c r="G31" i="28"/>
  <c r="E31" i="28"/>
  <c r="BP30" i="28"/>
  <c r="BN30" i="28"/>
  <c r="BI30" i="28"/>
  <c r="BG30" i="28"/>
  <c r="AQ30" i="28"/>
  <c r="AO30" i="28"/>
  <c r="AK30" i="28"/>
  <c r="AI30" i="28"/>
  <c r="AE30" i="28"/>
  <c r="AC30" i="28"/>
  <c r="Y30" i="28"/>
  <c r="W30" i="28"/>
  <c r="S30" i="28"/>
  <c r="Q30" i="28"/>
  <c r="M30" i="28"/>
  <c r="K30" i="28"/>
  <c r="G30" i="28"/>
  <c r="E30" i="28"/>
  <c r="D30" i="28"/>
  <c r="BP29" i="28"/>
  <c r="BP112" i="28" s="1"/>
  <c r="BN29" i="28"/>
  <c r="BN112" i="28" s="1"/>
  <c r="BI29" i="28"/>
  <c r="BI112" i="28" s="1"/>
  <c r="BG29" i="28"/>
  <c r="BG112" i="28" s="1"/>
  <c r="AQ29" i="28"/>
  <c r="AQ112" i="28" s="1"/>
  <c r="AO29" i="28"/>
  <c r="AO112" i="28" s="1"/>
  <c r="AK29" i="28"/>
  <c r="AK112" i="28" s="1"/>
  <c r="AI29" i="28"/>
  <c r="AI112" i="28" s="1"/>
  <c r="AM112" i="28" s="1"/>
  <c r="AE29" i="28"/>
  <c r="AE112" i="28" s="1"/>
  <c r="AC29" i="28"/>
  <c r="Y29" i="28"/>
  <c r="Y112" i="28" s="1"/>
  <c r="W29" i="28"/>
  <c r="W112" i="28" s="1"/>
  <c r="S29" i="28"/>
  <c r="S112" i="28" s="1"/>
  <c r="Q29" i="28"/>
  <c r="Q112" i="28" s="1"/>
  <c r="M29" i="28"/>
  <c r="M112" i="28" s="1"/>
  <c r="K29" i="28"/>
  <c r="K112" i="28" s="1"/>
  <c r="G29" i="28"/>
  <c r="G112" i="28" s="1"/>
  <c r="E29" i="28"/>
  <c r="D29" i="28"/>
  <c r="BP28" i="28"/>
  <c r="BN28" i="28"/>
  <c r="BR28" i="28" s="1"/>
  <c r="BI28" i="28"/>
  <c r="BG28" i="28"/>
  <c r="AQ28" i="28"/>
  <c r="AO28" i="28"/>
  <c r="AK28" i="28"/>
  <c r="AI28" i="28"/>
  <c r="AE28" i="28"/>
  <c r="AC28" i="28"/>
  <c r="Y28" i="28"/>
  <c r="W28" i="28"/>
  <c r="S28" i="28"/>
  <c r="Q28" i="28"/>
  <c r="M28" i="28"/>
  <c r="K28" i="28"/>
  <c r="G28" i="28"/>
  <c r="E28" i="28"/>
  <c r="D28" i="28"/>
  <c r="BP27" i="28"/>
  <c r="BN27" i="28"/>
  <c r="BI27" i="28"/>
  <c r="BG27" i="28"/>
  <c r="AQ27" i="28"/>
  <c r="BC27" i="28" s="1"/>
  <c r="AO27" i="28"/>
  <c r="BA27" i="28" s="1"/>
  <c r="AK27" i="28"/>
  <c r="AI27" i="28"/>
  <c r="AE27" i="28"/>
  <c r="AC27" i="28"/>
  <c r="Y27" i="28"/>
  <c r="W27" i="28"/>
  <c r="S27" i="28"/>
  <c r="Q27" i="28"/>
  <c r="U27" i="28" s="1"/>
  <c r="M27" i="28"/>
  <c r="K27" i="28"/>
  <c r="G27" i="28"/>
  <c r="E27" i="28"/>
  <c r="D27" i="28"/>
  <c r="BP26" i="28"/>
  <c r="BN26" i="28"/>
  <c r="BI26" i="28"/>
  <c r="BG26" i="28"/>
  <c r="AQ26" i="28"/>
  <c r="AO26" i="28"/>
  <c r="AK26" i="28"/>
  <c r="AI26" i="28"/>
  <c r="AE26" i="28"/>
  <c r="AC26" i="28"/>
  <c r="AG26" i="28" s="1"/>
  <c r="Y26" i="28"/>
  <c r="W26" i="28"/>
  <c r="S26" i="28"/>
  <c r="Q26" i="28"/>
  <c r="M26" i="28"/>
  <c r="K26" i="28"/>
  <c r="G26" i="28"/>
  <c r="E26" i="28"/>
  <c r="D26" i="28"/>
  <c r="S24" i="28"/>
  <c r="Q24" i="28"/>
  <c r="M24" i="28"/>
  <c r="K24" i="28"/>
  <c r="G24" i="28"/>
  <c r="E24" i="28"/>
  <c r="S23" i="28"/>
  <c r="Q23" i="28"/>
  <c r="U23" i="28" s="1"/>
  <c r="M23" i="28"/>
  <c r="K23" i="28"/>
  <c r="O23" i="28" s="1"/>
  <c r="G23" i="28"/>
  <c r="E23" i="28"/>
  <c r="S22" i="28"/>
  <c r="Q22" i="28"/>
  <c r="M22" i="28"/>
  <c r="K22" i="28"/>
  <c r="G22" i="28"/>
  <c r="E22" i="28"/>
  <c r="S21" i="28"/>
  <c r="Q21" i="28"/>
  <c r="U21" i="28" s="1"/>
  <c r="M21" i="28"/>
  <c r="K21" i="28"/>
  <c r="O21" i="28" s="1"/>
  <c r="G21" i="28"/>
  <c r="E21" i="28"/>
  <c r="S20" i="28"/>
  <c r="Q20" i="28"/>
  <c r="M20" i="28"/>
  <c r="K20" i="28"/>
  <c r="G20" i="28"/>
  <c r="E20" i="28"/>
  <c r="I20" i="28" s="1"/>
  <c r="BP19" i="28"/>
  <c r="BN19" i="28"/>
  <c r="BI19" i="28"/>
  <c r="BG19" i="28"/>
  <c r="AQ19" i="28"/>
  <c r="AO19" i="28"/>
  <c r="AK19" i="28"/>
  <c r="AI19" i="28"/>
  <c r="AE19" i="28"/>
  <c r="AC19" i="28"/>
  <c r="Y19" i="28"/>
  <c r="W19" i="28"/>
  <c r="AA19" i="28" s="1"/>
  <c r="D19" i="28"/>
  <c r="BP18" i="28"/>
  <c r="BN18" i="28"/>
  <c r="BI18" i="28"/>
  <c r="BI17" i="28" s="1"/>
  <c r="BG18" i="28"/>
  <c r="AQ18" i="28"/>
  <c r="AO18" i="28"/>
  <c r="AK18" i="28"/>
  <c r="AI18" i="28"/>
  <c r="AM18" i="28" s="1"/>
  <c r="AE18" i="28"/>
  <c r="AC18" i="28"/>
  <c r="Y18" i="28"/>
  <c r="W18" i="28"/>
  <c r="S18" i="28"/>
  <c r="Q18" i="28"/>
  <c r="M18" i="28"/>
  <c r="K18" i="28"/>
  <c r="G18" i="28"/>
  <c r="E18" i="28"/>
  <c r="M15" i="28"/>
  <c r="K15" i="28"/>
  <c r="BR14" i="28"/>
  <c r="BP14" i="28"/>
  <c r="BP100" i="28" s="1"/>
  <c r="BN14" i="28"/>
  <c r="BN100" i="28" s="1"/>
  <c r="BK14" i="28"/>
  <c r="BE14" i="28"/>
  <c r="BE100" i="28" s="1"/>
  <c r="BK100" i="28" s="1"/>
  <c r="AS14" i="28"/>
  <c r="AM14" i="28"/>
  <c r="AY14" i="28" s="1"/>
  <c r="AK14" i="28"/>
  <c r="AK100" i="28" s="1"/>
  <c r="AI14" i="28"/>
  <c r="AI100" i="28" s="1"/>
  <c r="AG14" i="28"/>
  <c r="AC14" i="28"/>
  <c r="AA14" i="28"/>
  <c r="Y14" i="28"/>
  <c r="W14" i="28"/>
  <c r="W100" i="28" s="1"/>
  <c r="U14" i="28"/>
  <c r="S14" i="28"/>
  <c r="Q14" i="28"/>
  <c r="Q100" i="28" s="1"/>
  <c r="O14" i="28"/>
  <c r="O100" i="28" s="1"/>
  <c r="U100" i="28" s="1"/>
  <c r="M14" i="28"/>
  <c r="M100" i="28" s="1"/>
  <c r="K14" i="28"/>
  <c r="K100" i="28" s="1"/>
  <c r="BQ11" i="28"/>
  <c r="BJ11" i="28"/>
  <c r="AR11" i="28"/>
  <c r="AL11" i="28"/>
  <c r="AF11" i="28"/>
  <c r="Z11" i="28"/>
  <c r="Q11" i="28"/>
  <c r="K11" i="28"/>
  <c r="E11" i="28"/>
  <c r="BP10" i="28"/>
  <c r="BQ10" i="28" s="1"/>
  <c r="BO10" i="28"/>
  <c r="AR10" i="28"/>
  <c r="AQ10" i="28"/>
  <c r="AP10" i="28"/>
  <c r="AK10" i="28"/>
  <c r="AL10" i="28" s="1"/>
  <c r="AJ10" i="28"/>
  <c r="AF10" i="28"/>
  <c r="AE10" i="28"/>
  <c r="AD10" i="28"/>
  <c r="Y10" i="28"/>
  <c r="Z10" i="28" s="1"/>
  <c r="X10" i="28"/>
  <c r="AC9" i="28"/>
  <c r="AO9" i="28" s="1"/>
  <c r="G9" i="28"/>
  <c r="S9" i="28" s="1"/>
  <c r="T9" i="28" s="1"/>
  <c r="AE9" i="28" s="1"/>
  <c r="E9" i="28"/>
  <c r="Q9" i="28" s="1"/>
  <c r="R9" i="28" s="1"/>
  <c r="Q8" i="28"/>
  <c r="R8" i="28" s="1"/>
  <c r="AC8" i="28" s="1"/>
  <c r="L8" i="28"/>
  <c r="W8" i="28" s="1"/>
  <c r="X8" i="28" s="1"/>
  <c r="K8" i="28"/>
  <c r="G8" i="28"/>
  <c r="S8" i="28" s="1"/>
  <c r="T8" i="28" s="1"/>
  <c r="AE8" i="28" s="1"/>
  <c r="E8" i="28"/>
  <c r="BC7" i="28"/>
  <c r="BD7" i="28" s="1"/>
  <c r="AQ7" i="28"/>
  <c r="Y7" i="28"/>
  <c r="AK7" i="28" s="1"/>
  <c r="AL7" i="28" s="1"/>
  <c r="T7" i="28"/>
  <c r="AE7" i="28" s="1"/>
  <c r="AF7" i="28" s="1"/>
  <c r="S7" i="28"/>
  <c r="R7" i="28"/>
  <c r="AC7" i="28" s="1"/>
  <c r="Q7" i="28"/>
  <c r="N7" i="28"/>
  <c r="M7" i="28"/>
  <c r="L7" i="28"/>
  <c r="W7" i="28" s="1"/>
  <c r="X7" i="28" s="1"/>
  <c r="K7" i="28"/>
  <c r="S6" i="28"/>
  <c r="T6" i="28" s="1"/>
  <c r="AE6" i="28" s="1"/>
  <c r="Q6" i="28"/>
  <c r="R6" i="28" s="1"/>
  <c r="AC6" i="28" s="1"/>
  <c r="AO6" i="28" s="1"/>
  <c r="M6" i="28"/>
  <c r="N6" i="28" s="1"/>
  <c r="Y6" i="28" s="1"/>
  <c r="AK6" i="28" s="1"/>
  <c r="AL6" i="28" s="1"/>
  <c r="L6" i="28"/>
  <c r="W6" i="28" s="1"/>
  <c r="X6" i="28" s="1"/>
  <c r="K6" i="28"/>
  <c r="X5" i="28"/>
  <c r="S5" i="28"/>
  <c r="T5" i="28" s="1"/>
  <c r="AE5" i="28" s="1"/>
  <c r="Q5" i="28"/>
  <c r="R5" i="28" s="1"/>
  <c r="AC5" i="28" s="1"/>
  <c r="N5" i="28"/>
  <c r="Y5" i="28" s="1"/>
  <c r="Z5" i="28" s="1"/>
  <c r="M5" i="28"/>
  <c r="L5" i="28"/>
  <c r="W5" i="28" s="1"/>
  <c r="AI5" i="28" s="1"/>
  <c r="AJ5" i="28" s="1"/>
  <c r="K5" i="28"/>
  <c r="BP4" i="28"/>
  <c r="BO4" i="28"/>
  <c r="BI4" i="28"/>
  <c r="BG4" i="28"/>
  <c r="BN4" i="28" s="1"/>
  <c r="BK78" i="28" l="1"/>
  <c r="AI105" i="28"/>
  <c r="BP69" i="28"/>
  <c r="AM71" i="28"/>
  <c r="AE105" i="28"/>
  <c r="AM61" i="28"/>
  <c r="AG63" i="28"/>
  <c r="E25" i="28"/>
  <c r="AU63" i="28"/>
  <c r="AM93" i="28"/>
  <c r="AM128" i="28" s="1"/>
  <c r="I68" i="28"/>
  <c r="AA96" i="28"/>
  <c r="G107" i="28"/>
  <c r="BC75" i="28"/>
  <c r="AM39" i="28"/>
  <c r="BN55" i="28"/>
  <c r="I65" i="28"/>
  <c r="AM67" i="28"/>
  <c r="BA86" i="28"/>
  <c r="AW18" i="28"/>
  <c r="G41" i="28"/>
  <c r="BC39" i="28"/>
  <c r="BA42" i="28"/>
  <c r="BR68" i="28"/>
  <c r="O79" i="28"/>
  <c r="U86" i="28"/>
  <c r="BR86" i="28"/>
  <c r="BK18" i="28"/>
  <c r="BK31" i="28"/>
  <c r="BP34" i="28"/>
  <c r="AG38" i="28"/>
  <c r="K41" i="28"/>
  <c r="BK39" i="28"/>
  <c r="I44" i="28"/>
  <c r="O54" i="28"/>
  <c r="I56" i="28"/>
  <c r="AS56" i="28"/>
  <c r="AM58" i="28"/>
  <c r="O60" i="28"/>
  <c r="I67" i="28"/>
  <c r="AW67" i="28"/>
  <c r="BK71" i="28"/>
  <c r="I73" i="28"/>
  <c r="AM78" i="28"/>
  <c r="AG84" i="28"/>
  <c r="AS75" i="28"/>
  <c r="Y17" i="28"/>
  <c r="AA17" i="28" s="1"/>
  <c r="BC58" i="28"/>
  <c r="BA38" i="28"/>
  <c r="Q19" i="28"/>
  <c r="BA19" i="28" s="1"/>
  <c r="W17" i="28"/>
  <c r="I94" i="28"/>
  <c r="BK96" i="28"/>
  <c r="BR44" i="28"/>
  <c r="AG74" i="28"/>
  <c r="I24" i="28"/>
  <c r="O40" i="28"/>
  <c r="BA75" i="28"/>
  <c r="BE75" i="28" s="1"/>
  <c r="M19" i="28"/>
  <c r="AK17" i="28"/>
  <c r="S41" i="28"/>
  <c r="S108" i="28" s="1"/>
  <c r="AW58" i="28"/>
  <c r="BA91" i="28"/>
  <c r="M103" i="28"/>
  <c r="W34" i="28"/>
  <c r="BA37" i="28"/>
  <c r="BA65" i="28"/>
  <c r="BE65" i="28" s="1"/>
  <c r="BC79" i="28"/>
  <c r="BC82" i="28"/>
  <c r="AW86" i="28"/>
  <c r="BA87" i="28"/>
  <c r="AI88" i="28"/>
  <c r="AM88" i="28" s="1"/>
  <c r="I28" i="28"/>
  <c r="I36" i="28"/>
  <c r="AS36" i="28"/>
  <c r="BC37" i="28"/>
  <c r="AM38" i="28"/>
  <c r="U39" i="28"/>
  <c r="BK44" i="28"/>
  <c r="I58" i="28"/>
  <c r="BC65" i="28"/>
  <c r="AG68" i="28"/>
  <c r="U71" i="28"/>
  <c r="BR71" i="28"/>
  <c r="O73" i="28"/>
  <c r="AA74" i="28"/>
  <c r="AG77" i="28"/>
  <c r="U79" i="28"/>
  <c r="AA82" i="28"/>
  <c r="AG86" i="28"/>
  <c r="BE37" i="28"/>
  <c r="I57" i="28"/>
  <c r="AM87" i="28"/>
  <c r="AA44" i="28"/>
  <c r="AM55" i="28"/>
  <c r="BR96" i="28"/>
  <c r="E34" i="28"/>
  <c r="I55" i="28"/>
  <c r="AU92" i="28"/>
  <c r="BE128" i="28"/>
  <c r="BK61" i="28"/>
  <c r="BI109" i="28"/>
  <c r="AM76" i="28"/>
  <c r="BC57" i="28"/>
  <c r="S109" i="28"/>
  <c r="AA78" i="28"/>
  <c r="AS84" i="28"/>
  <c r="BC85" i="28"/>
  <c r="AS92" i="28"/>
  <c r="O18" i="28"/>
  <c r="M107" i="28"/>
  <c r="I23" i="28"/>
  <c r="O71" i="28"/>
  <c r="AO83" i="28"/>
  <c r="BR27" i="28"/>
  <c r="AG33" i="28"/>
  <c r="W106" i="28"/>
  <c r="M105" i="28"/>
  <c r="W109" i="28"/>
  <c r="AA109" i="28" s="1"/>
  <c r="AU67" i="28"/>
  <c r="AY67" i="28" s="1"/>
  <c r="I70" i="28"/>
  <c r="AS73" i="28"/>
  <c r="AW82" i="28"/>
  <c r="AK83" i="28"/>
  <c r="AK113" i="28" s="1"/>
  <c r="AW91" i="28"/>
  <c r="I96" i="28"/>
  <c r="BE124" i="28"/>
  <c r="BR33" i="28"/>
  <c r="BK74" i="28"/>
  <c r="BR43" i="28"/>
  <c r="AS38" i="28"/>
  <c r="AO34" i="28"/>
  <c r="AW55" i="28"/>
  <c r="BA63" i="28"/>
  <c r="O66" i="28"/>
  <c r="AS68" i="28"/>
  <c r="BR77" i="28"/>
  <c r="AG78" i="28"/>
  <c r="BC80" i="28"/>
  <c r="BC87" i="28"/>
  <c r="AA35" i="28"/>
  <c r="U18" i="28"/>
  <c r="BR46" i="28"/>
  <c r="BE48" i="28"/>
  <c r="I66" i="28"/>
  <c r="BC32" i="28"/>
  <c r="AW27" i="28"/>
  <c r="BK112" i="28"/>
  <c r="I22" i="28"/>
  <c r="U26" i="28"/>
  <c r="U112" i="28"/>
  <c r="BR112" i="28"/>
  <c r="AA32" i="28"/>
  <c r="I33" i="28"/>
  <c r="AS35" i="28"/>
  <c r="AU43" i="28"/>
  <c r="AG49" i="28"/>
  <c r="AG55" i="28"/>
  <c r="AS62" i="28"/>
  <c r="BC63" i="28"/>
  <c r="AC109" i="28"/>
  <c r="U73" i="28"/>
  <c r="G69" i="28"/>
  <c r="U76" i="28"/>
  <c r="AM81" i="28"/>
  <c r="BA84" i="28"/>
  <c r="BR84" i="28"/>
  <c r="AK127" i="28"/>
  <c r="AA124" i="28"/>
  <c r="BA67" i="28"/>
  <c r="BE67" i="28" s="1"/>
  <c r="BA71" i="28"/>
  <c r="I26" i="28"/>
  <c r="U67" i="28"/>
  <c r="BG17" i="28"/>
  <c r="AE107" i="28"/>
  <c r="AQ104" i="28"/>
  <c r="BC42" i="28"/>
  <c r="BC48" i="28"/>
  <c r="I52" i="28"/>
  <c r="BA58" i="28"/>
  <c r="BE58" i="28" s="1"/>
  <c r="G59" i="28"/>
  <c r="BC76" i="28"/>
  <c r="AW80" i="28"/>
  <c r="AE83" i="28"/>
  <c r="AE113" i="28" s="1"/>
  <c r="U96" i="28"/>
  <c r="AS32" i="28"/>
  <c r="AC34" i="28"/>
  <c r="AG34" i="28" s="1"/>
  <c r="BK85" i="28"/>
  <c r="BN69" i="28"/>
  <c r="BR69" i="28" s="1"/>
  <c r="AG65" i="28"/>
  <c r="BP108" i="28"/>
  <c r="O22" i="28"/>
  <c r="O24" i="28"/>
  <c r="AI107" i="28"/>
  <c r="AM107" i="28" s="1"/>
  <c r="AE106" i="28"/>
  <c r="O33" i="28"/>
  <c r="BA35" i="28"/>
  <c r="AS37" i="28"/>
  <c r="U38" i="28"/>
  <c r="I40" i="28"/>
  <c r="AA42" i="28"/>
  <c r="BI34" i="28"/>
  <c r="I46" i="28"/>
  <c r="BA50" i="28"/>
  <c r="BE50" i="28" s="1"/>
  <c r="O52" i="28"/>
  <c r="AO55" i="28"/>
  <c r="AU55" i="28" s="1"/>
  <c r="AY55" i="28" s="1"/>
  <c r="BC56" i="28"/>
  <c r="O62" i="28"/>
  <c r="AG64" i="28"/>
  <c r="O65" i="28"/>
  <c r="BA70" i="28"/>
  <c r="BR70" i="28"/>
  <c r="AG71" i="28"/>
  <c r="I72" i="28"/>
  <c r="BA79" i="28"/>
  <c r="BE79" i="28" s="1"/>
  <c r="BK79" i="28"/>
  <c r="AU80" i="28"/>
  <c r="BA82" i="28"/>
  <c r="AM85" i="28"/>
  <c r="AW93" i="28"/>
  <c r="AG124" i="28"/>
  <c r="AG66" i="28"/>
  <c r="BK89" i="28"/>
  <c r="AW63" i="28"/>
  <c r="AY63" i="28" s="1"/>
  <c r="AK108" i="28"/>
  <c r="AA28" i="28"/>
  <c r="BA43" i="28"/>
  <c r="BE43" i="28" s="1"/>
  <c r="M109" i="28"/>
  <c r="O109" i="28" s="1"/>
  <c r="U20" i="28"/>
  <c r="BI104" i="28"/>
  <c r="AA38" i="28"/>
  <c r="I43" i="28"/>
  <c r="O58" i="28"/>
  <c r="BK58" i="28"/>
  <c r="BP59" i="28"/>
  <c r="BP47" i="28" s="1"/>
  <c r="BP95" i="28" s="1"/>
  <c r="S69" i="28"/>
  <c r="U69" i="28" s="1"/>
  <c r="BK72" i="28"/>
  <c r="AM77" i="28"/>
  <c r="O81" i="28"/>
  <c r="AM124" i="28"/>
  <c r="AQ8" i="28"/>
  <c r="AF8" i="28"/>
  <c r="E19" i="28"/>
  <c r="E101" i="28" s="1"/>
  <c r="G25" i="28"/>
  <c r="I25" i="28" s="1"/>
  <c r="AI106" i="28"/>
  <c r="AM106" i="28" s="1"/>
  <c r="G34" i="28"/>
  <c r="BC35" i="28"/>
  <c r="BE35" i="28" s="1"/>
  <c r="BN34" i="28"/>
  <c r="BR34" i="28" s="1"/>
  <c r="AG36" i="28"/>
  <c r="O38" i="28"/>
  <c r="AM43" i="28"/>
  <c r="AK105" i="28"/>
  <c r="AG48" i="28"/>
  <c r="AU50" i="28"/>
  <c r="AY50" i="28" s="1"/>
  <c r="U51" i="28"/>
  <c r="O53" i="28"/>
  <c r="BK55" i="28"/>
  <c r="AA56" i="28"/>
  <c r="BR56" i="28"/>
  <c r="AU57" i="28"/>
  <c r="BN59" i="28"/>
  <c r="BR59" i="28" s="1"/>
  <c r="AK111" i="28"/>
  <c r="O67" i="28"/>
  <c r="AS67" i="28"/>
  <c r="I71" i="28"/>
  <c r="O72" i="28"/>
  <c r="BG69" i="28"/>
  <c r="BK77" i="28"/>
  <c r="AW79" i="28"/>
  <c r="BR79" i="28"/>
  <c r="BK82" i="28"/>
  <c r="AA86" i="28"/>
  <c r="AG91" i="28"/>
  <c r="AM92" i="28"/>
  <c r="Q109" i="28"/>
  <c r="K115" i="28"/>
  <c r="O115" i="28" s="1"/>
  <c r="BA76" i="28"/>
  <c r="AS112" i="28"/>
  <c r="G106" i="28"/>
  <c r="AW48" i="28"/>
  <c r="AK109" i="28"/>
  <c r="AU76" i="28"/>
  <c r="AY76" i="28" s="1"/>
  <c r="BP83" i="28"/>
  <c r="BP113" i="28" s="1"/>
  <c r="AW87" i="28"/>
  <c r="U90" i="28"/>
  <c r="I92" i="28"/>
  <c r="M115" i="28"/>
  <c r="AK106" i="28"/>
  <c r="AU35" i="28"/>
  <c r="E41" i="28"/>
  <c r="AU42" i="28"/>
  <c r="AG44" i="28"/>
  <c r="E105" i="28"/>
  <c r="AO105" i="28"/>
  <c r="M8" i="28"/>
  <c r="N8" i="28" s="1"/>
  <c r="Y8" i="28" s="1"/>
  <c r="AK8" i="28" s="1"/>
  <c r="AL8" i="28" s="1"/>
  <c r="AO116" i="28"/>
  <c r="AM27" i="28"/>
  <c r="AK104" i="28"/>
  <c r="Y34" i="28"/>
  <c r="BR35" i="28"/>
  <c r="O37" i="28"/>
  <c r="AU38" i="28"/>
  <c r="AW42" i="28"/>
  <c r="AM48" i="28"/>
  <c r="U50" i="28"/>
  <c r="U53" i="28"/>
  <c r="AG56" i="28"/>
  <c r="AM57" i="28"/>
  <c r="I62" i="28"/>
  <c r="AM62" i="28"/>
  <c r="G109" i="28"/>
  <c r="BC67" i="28"/>
  <c r="BC71" i="28"/>
  <c r="BK75" i="28"/>
  <c r="AW76" i="28"/>
  <c r="BK76" i="28"/>
  <c r="AA77" i="28"/>
  <c r="AM80" i="28"/>
  <c r="I81" i="28"/>
  <c r="BR82" i="28"/>
  <c r="AU87" i="28"/>
  <c r="O89" i="28"/>
  <c r="I124" i="28"/>
  <c r="BC93" i="28"/>
  <c r="BC38" i="28"/>
  <c r="K59" i="28"/>
  <c r="K47" i="28" s="1"/>
  <c r="BC64" i="28"/>
  <c r="BC109" i="28" s="1"/>
  <c r="Q116" i="28"/>
  <c r="BA18" i="28"/>
  <c r="O20" i="28"/>
  <c r="G19" i="28"/>
  <c r="AQ108" i="28"/>
  <c r="Q107" i="28"/>
  <c r="M104" i="28"/>
  <c r="U29" i="28"/>
  <c r="Y102" i="28"/>
  <c r="BA32" i="28"/>
  <c r="BC36" i="28"/>
  <c r="U37" i="28"/>
  <c r="AW38" i="28"/>
  <c r="AW46" i="28"/>
  <c r="AS58" i="28"/>
  <c r="BC62" i="28"/>
  <c r="U63" i="28"/>
  <c r="BG59" i="28"/>
  <c r="BG47" i="28" s="1"/>
  <c r="U65" i="28"/>
  <c r="AA67" i="28"/>
  <c r="E69" i="28"/>
  <c r="I69" i="28" s="1"/>
  <c r="I74" i="28"/>
  <c r="AW75" i="28"/>
  <c r="G111" i="28"/>
  <c r="K83" i="28"/>
  <c r="K113" i="28" s="1"/>
  <c r="O113" i="28" s="1"/>
  <c r="BC92" i="28"/>
  <c r="G110" i="28"/>
  <c r="I110" i="28" s="1"/>
  <c r="AA39" i="28"/>
  <c r="AS43" i="28"/>
  <c r="AW92" i="28"/>
  <c r="AA112" i="28"/>
  <c r="BA33" i="28"/>
  <c r="O36" i="28"/>
  <c r="AW39" i="28"/>
  <c r="Q34" i="28"/>
  <c r="BA34" i="28" s="1"/>
  <c r="S105" i="28"/>
  <c r="AG46" i="28"/>
  <c r="O48" i="28"/>
  <c r="BR50" i="28"/>
  <c r="AS57" i="28"/>
  <c r="O61" i="28"/>
  <c r="BK62" i="28"/>
  <c r="AA63" i="28"/>
  <c r="BI110" i="28"/>
  <c r="AU66" i="28"/>
  <c r="BP111" i="28"/>
  <c r="AG67" i="28"/>
  <c r="BR67" i="28"/>
  <c r="AM73" i="28"/>
  <c r="K69" i="28"/>
  <c r="O69" i="28" s="1"/>
  <c r="AS79" i="28"/>
  <c r="O80" i="28"/>
  <c r="M83" i="28"/>
  <c r="M113" i="28" s="1"/>
  <c r="AA92" i="28"/>
  <c r="U124" i="28"/>
  <c r="E103" i="28"/>
  <c r="BI111" i="28"/>
  <c r="BK111" i="28" s="1"/>
  <c r="BK67" i="28"/>
  <c r="BC33" i="28"/>
  <c r="AK34" i="28"/>
  <c r="AW37" i="28"/>
  <c r="BP105" i="28"/>
  <c r="BC49" i="28"/>
  <c r="BE49" i="28" s="1"/>
  <c r="BA61" i="28"/>
  <c r="AW61" i="28"/>
  <c r="BN109" i="28"/>
  <c r="BR109" i="28" s="1"/>
  <c r="G83" i="28"/>
  <c r="G113" i="28" s="1"/>
  <c r="AS87" i="28"/>
  <c r="BI88" i="28"/>
  <c r="BK88" i="28" s="1"/>
  <c r="AG93" i="28"/>
  <c r="AG128" i="28" s="1"/>
  <c r="AM96" i="28"/>
  <c r="AE110" i="28"/>
  <c r="AG110" i="28" s="1"/>
  <c r="AO108" i="28"/>
  <c r="AS108" i="28" s="1"/>
  <c r="O27" i="28"/>
  <c r="AU18" i="28"/>
  <c r="AY18" i="28" s="1"/>
  <c r="Y116" i="28"/>
  <c r="U22" i="28"/>
  <c r="BN108" i="28"/>
  <c r="AA29" i="28"/>
  <c r="BI106" i="28"/>
  <c r="AA33" i="28"/>
  <c r="U36" i="28"/>
  <c r="AG37" i="28"/>
  <c r="BR38" i="28"/>
  <c r="BK42" i="28"/>
  <c r="AA43" i="28"/>
  <c r="BK43" i="28"/>
  <c r="U48" i="28"/>
  <c r="AA49" i="28"/>
  <c r="BK56" i="28"/>
  <c r="BC61" i="28"/>
  <c r="BR62" i="28"/>
  <c r="AA64" i="28"/>
  <c r="U70" i="28"/>
  <c r="BI69" i="28"/>
  <c r="AS74" i="28"/>
  <c r="O78" i="28"/>
  <c r="AS82" i="28"/>
  <c r="BC86" i="28"/>
  <c r="BE86" i="28" s="1"/>
  <c r="BA90" i="28"/>
  <c r="BE90" i="28" s="1"/>
  <c r="AK103" i="28"/>
  <c r="BC29" i="28"/>
  <c r="BC112" i="28" s="1"/>
  <c r="AW43" i="28"/>
  <c r="AU58" i="28"/>
  <c r="AU61" i="28"/>
  <c r="AG69" i="28"/>
  <c r="BK80" i="28"/>
  <c r="U81" i="28"/>
  <c r="AW81" i="28"/>
  <c r="AY81" i="28" s="1"/>
  <c r="O82" i="28"/>
  <c r="AS85" i="28"/>
  <c r="U87" i="28"/>
  <c r="Q88" i="28"/>
  <c r="Q127" i="28" s="1"/>
  <c r="BA127" i="28" s="1"/>
  <c r="BC90" i="28"/>
  <c r="BC114" i="28" s="1"/>
  <c r="BR91" i="28"/>
  <c r="AG92" i="28"/>
  <c r="O96" i="28"/>
  <c r="BR124" i="28"/>
  <c r="AC128" i="28"/>
  <c r="BA29" i="28"/>
  <c r="BA112" i="28" s="1"/>
  <c r="AW36" i="28"/>
  <c r="Q106" i="28"/>
  <c r="Y107" i="28"/>
  <c r="BK17" i="28"/>
  <c r="BP116" i="28"/>
  <c r="AQ101" i="28"/>
  <c r="I21" i="28"/>
  <c r="AW26" i="28"/>
  <c r="BR26" i="28"/>
  <c r="AG27" i="28"/>
  <c r="AU31" i="28"/>
  <c r="AM37" i="28"/>
  <c r="I38" i="28"/>
  <c r="AS39" i="28"/>
  <c r="BR42" i="28"/>
  <c r="AG43" i="28"/>
  <c r="AS46" i="28"/>
  <c r="U54" i="28"/>
  <c r="BR57" i="28"/>
  <c r="AA58" i="28"/>
  <c r="Y59" i="28"/>
  <c r="Y47" i="28" s="1"/>
  <c r="AM63" i="28"/>
  <c r="O68" i="28"/>
  <c r="BA73" i="28"/>
  <c r="U75" i="28"/>
  <c r="O76" i="28"/>
  <c r="AA80" i="28"/>
  <c r="AA81" i="28"/>
  <c r="W83" i="28"/>
  <c r="W113" i="28" s="1"/>
  <c r="BK86" i="28"/>
  <c r="AA87" i="28"/>
  <c r="AQ6" i="28"/>
  <c r="AF6" i="28"/>
  <c r="AK101" i="28"/>
  <c r="AK117" i="28" s="1"/>
  <c r="AW19" i="28"/>
  <c r="W107" i="28"/>
  <c r="AA27" i="28"/>
  <c r="AU48" i="28"/>
  <c r="AA48" i="28"/>
  <c r="I60" i="28"/>
  <c r="E59" i="28"/>
  <c r="BE27" i="28"/>
  <c r="U56" i="28"/>
  <c r="BA56" i="28"/>
  <c r="AM84" i="28"/>
  <c r="AU84" i="28"/>
  <c r="AI83" i="28"/>
  <c r="AS19" i="28"/>
  <c r="U24" i="28"/>
  <c r="BG106" i="28"/>
  <c r="BK106" i="28" s="1"/>
  <c r="BK32" i="28"/>
  <c r="I53" i="28"/>
  <c r="AF5" i="28"/>
  <c r="AQ5" i="28"/>
  <c r="E109" i="28"/>
  <c r="I64" i="28"/>
  <c r="G103" i="28"/>
  <c r="I31" i="28"/>
  <c r="AI109" i="28"/>
  <c r="AM64" i="28"/>
  <c r="AI59" i="28"/>
  <c r="AQ9" i="28"/>
  <c r="AF9" i="28"/>
  <c r="K19" i="28"/>
  <c r="BP103" i="28"/>
  <c r="BP17" i="28"/>
  <c r="O44" i="28"/>
  <c r="K34" i="28"/>
  <c r="Z6" i="28"/>
  <c r="AC100" i="28"/>
  <c r="AO14" i="28"/>
  <c r="K116" i="28"/>
  <c r="O35" i="28"/>
  <c r="AG39" i="28"/>
  <c r="AQ102" i="28"/>
  <c r="AW30" i="28"/>
  <c r="AS30" i="28"/>
  <c r="BN105" i="28"/>
  <c r="BR45" i="28"/>
  <c r="M127" i="28"/>
  <c r="O88" i="28"/>
  <c r="AC112" i="28"/>
  <c r="AG112" i="28" s="1"/>
  <c r="AG29" i="28"/>
  <c r="AM44" i="28"/>
  <c r="AI34" i="28"/>
  <c r="AO5" i="28"/>
  <c r="AD5" i="28"/>
  <c r="BA6" i="28"/>
  <c r="BB6" i="28" s="1"/>
  <c r="AP6" i="28"/>
  <c r="AU37" i="28"/>
  <c r="AA37" i="28"/>
  <c r="AD8" i="28"/>
  <c r="AO8" i="28"/>
  <c r="E112" i="28"/>
  <c r="I112" i="28" s="1"/>
  <c r="I29" i="28"/>
  <c r="AC106" i="28"/>
  <c r="AG32" i="28"/>
  <c r="AU32" i="28"/>
  <c r="BC50" i="28"/>
  <c r="BG9" i="28"/>
  <c r="BA9" i="28"/>
  <c r="BB9" i="28" s="1"/>
  <c r="AP9" i="28"/>
  <c r="AI108" i="28"/>
  <c r="AM26" i="28"/>
  <c r="AM28" i="28"/>
  <c r="AI104" i="28"/>
  <c r="AM104" i="28" s="1"/>
  <c r="AE103" i="28"/>
  <c r="AE117" i="28" s="1"/>
  <c r="AW31" i="28"/>
  <c r="AE17" i="28"/>
  <c r="G47" i="28"/>
  <c r="AK5" i="28"/>
  <c r="AL5" i="28" s="1"/>
  <c r="AI8" i="28"/>
  <c r="AJ8" i="28" s="1"/>
  <c r="AD9" i="28"/>
  <c r="Q102" i="28"/>
  <c r="BA30" i="28"/>
  <c r="U30" i="28"/>
  <c r="AG31" i="28"/>
  <c r="BN103" i="28"/>
  <c r="BR31" i="28"/>
  <c r="BN17" i="28"/>
  <c r="BR17" i="28" s="1"/>
  <c r="AO7" i="28"/>
  <c r="AD7" i="28"/>
  <c r="AM35" i="28"/>
  <c r="AD6" i="28"/>
  <c r="S116" i="28"/>
  <c r="BC18" i="28"/>
  <c r="W116" i="28"/>
  <c r="AA18" i="28"/>
  <c r="AO104" i="28"/>
  <c r="AS104" i="28" s="1"/>
  <c r="AS28" i="28"/>
  <c r="AI103" i="28"/>
  <c r="AI17" i="28"/>
  <c r="AM17" i="28" s="1"/>
  <c r="AM31" i="28"/>
  <c r="AW45" i="28"/>
  <c r="Y105" i="28"/>
  <c r="U49" i="28"/>
  <c r="BA92" i="28"/>
  <c r="Q55" i="28"/>
  <c r="U92" i="28"/>
  <c r="BG6" i="28"/>
  <c r="AR7" i="28"/>
  <c r="BI7" i="28"/>
  <c r="K108" i="28"/>
  <c r="K25" i="28"/>
  <c r="O26" i="28"/>
  <c r="AU27" i="28"/>
  <c r="K104" i="28"/>
  <c r="O28" i="28"/>
  <c r="AU33" i="28"/>
  <c r="AS33" i="28"/>
  <c r="AC105" i="28"/>
  <c r="AG105" i="28" s="1"/>
  <c r="AG45" i="28"/>
  <c r="AU45" i="28"/>
  <c r="AW60" i="28"/>
  <c r="AK59" i="28"/>
  <c r="AK47" i="28" s="1"/>
  <c r="AM60" i="28"/>
  <c r="I32" i="28"/>
  <c r="E106" i="28"/>
  <c r="Q59" i="28"/>
  <c r="Q47" i="28" s="1"/>
  <c r="Q105" i="28"/>
  <c r="U61" i="28"/>
  <c r="AA88" i="28"/>
  <c r="AA127" i="28" s="1"/>
  <c r="S102" i="28"/>
  <c r="Z7" i="28"/>
  <c r="E107" i="28"/>
  <c r="BK29" i="28"/>
  <c r="AM36" i="28"/>
  <c r="M34" i="28"/>
  <c r="M41" i="28"/>
  <c r="AS44" i="28"/>
  <c r="BK50" i="28"/>
  <c r="AW62" i="28"/>
  <c r="BA83" i="28"/>
  <c r="K9" i="28"/>
  <c r="L9" i="28" s="1"/>
  <c r="W9" i="28" s="1"/>
  <c r="S104" i="28"/>
  <c r="BC28" i="28"/>
  <c r="AM29" i="28"/>
  <c r="AO103" i="28"/>
  <c r="AS31" i="28"/>
  <c r="O39" i="28"/>
  <c r="AG42" i="28"/>
  <c r="U44" i="28"/>
  <c r="BN83" i="28"/>
  <c r="BR85" i="28"/>
  <c r="M9" i="28"/>
  <c r="N9" i="28" s="1"/>
  <c r="Y9" i="28" s="1"/>
  <c r="AK116" i="28"/>
  <c r="BG101" i="28"/>
  <c r="BK19" i="28"/>
  <c r="AK107" i="28"/>
  <c r="Y104" i="28"/>
  <c r="AW28" i="28"/>
  <c r="BR29" i="28"/>
  <c r="AA30" i="28"/>
  <c r="BC30" i="28"/>
  <c r="Q103" i="28"/>
  <c r="BA31" i="28"/>
  <c r="U31" i="28"/>
  <c r="M106" i="28"/>
  <c r="AW35" i="28"/>
  <c r="O42" i="28"/>
  <c r="K105" i="28"/>
  <c r="O105" i="28" s="1"/>
  <c r="O45" i="28"/>
  <c r="AM49" i="28"/>
  <c r="AQ59" i="28"/>
  <c r="AQ47" i="28" s="1"/>
  <c r="BG110" i="28"/>
  <c r="BK65" i="28"/>
  <c r="BA68" i="28"/>
  <c r="U68" i="28"/>
  <c r="AM72" i="28"/>
  <c r="AU72" i="28"/>
  <c r="U74" i="28"/>
  <c r="BA74" i="28"/>
  <c r="BE74" i="28" s="1"/>
  <c r="AW85" i="28"/>
  <c r="G126" i="28"/>
  <c r="AI6" i="28"/>
  <c r="AJ6" i="28" s="1"/>
  <c r="K103" i="28"/>
  <c r="U33" i="28"/>
  <c r="AE116" i="28"/>
  <c r="AE119" i="28" s="1"/>
  <c r="AE120" i="28" s="1"/>
  <c r="BA26" i="28"/>
  <c r="AM45" i="28"/>
  <c r="BC26" i="28"/>
  <c r="S25" i="28"/>
  <c r="AS26" i="28"/>
  <c r="I27" i="28"/>
  <c r="AU28" i="28"/>
  <c r="O29" i="28"/>
  <c r="O31" i="28"/>
  <c r="K106" i="28"/>
  <c r="O32" i="28"/>
  <c r="AM32" i="28"/>
  <c r="AW33" i="28"/>
  <c r="AA55" i="28"/>
  <c r="E128" i="28"/>
  <c r="I93" i="28"/>
  <c r="I128" i="28" s="1"/>
  <c r="AC107" i="28"/>
  <c r="AQ34" i="28"/>
  <c r="Q104" i="28"/>
  <c r="U104" i="28" s="1"/>
  <c r="U28" i="28"/>
  <c r="W101" i="28"/>
  <c r="AU19" i="28"/>
  <c r="AO17" i="28"/>
  <c r="BI101" i="28"/>
  <c r="S103" i="28"/>
  <c r="BC31" i="28"/>
  <c r="AG57" i="28"/>
  <c r="AU60" i="28"/>
  <c r="AC59" i="28"/>
  <c r="AC47" i="28" s="1"/>
  <c r="BR60" i="28"/>
  <c r="AO113" i="28"/>
  <c r="Y83" i="28"/>
  <c r="AW84" i="28"/>
  <c r="AG85" i="28"/>
  <c r="AC83" i="28"/>
  <c r="AU85" i="28"/>
  <c r="I126" i="28"/>
  <c r="AW14" i="28"/>
  <c r="M116" i="28"/>
  <c r="BN101" i="28"/>
  <c r="S19" i="28"/>
  <c r="Y108" i="28"/>
  <c r="AA26" i="28"/>
  <c r="BG108" i="28"/>
  <c r="AO107" i="28"/>
  <c r="AC104" i="28"/>
  <c r="AU29" i="28"/>
  <c r="E102" i="28"/>
  <c r="AE102" i="28"/>
  <c r="BG102" i="28"/>
  <c r="BK30" i="28"/>
  <c r="W103" i="28"/>
  <c r="AA31" i="28"/>
  <c r="S106" i="28"/>
  <c r="U106" i="28" s="1"/>
  <c r="AU36" i="28"/>
  <c r="AU39" i="28"/>
  <c r="BC46" i="28"/>
  <c r="Y110" i="28"/>
  <c r="AW65" i="28"/>
  <c r="BN110" i="28"/>
  <c r="BR65" i="28"/>
  <c r="BK66" i="28"/>
  <c r="AG70" i="28"/>
  <c r="AU70" i="28"/>
  <c r="AS78" i="28"/>
  <c r="BA80" i="28"/>
  <c r="BE80" i="28" s="1"/>
  <c r="U80" i="28"/>
  <c r="AA84" i="28"/>
  <c r="AQ88" i="28"/>
  <c r="AQ127" i="28" s="1"/>
  <c r="AQ125" i="28" s="1"/>
  <c r="BC89" i="28"/>
  <c r="AO128" i="28"/>
  <c r="AS93" i="28"/>
  <c r="BA93" i="28"/>
  <c r="Q113" i="28"/>
  <c r="I115" i="28"/>
  <c r="AQ69" i="28"/>
  <c r="BC70" i="28"/>
  <c r="BE70" i="28" s="1"/>
  <c r="S127" i="28"/>
  <c r="BC127" i="28" s="1"/>
  <c r="BC91" i="28"/>
  <c r="BE91" i="28" s="1"/>
  <c r="M101" i="28"/>
  <c r="M117" i="28" s="1"/>
  <c r="AC116" i="28"/>
  <c r="AC17" i="28"/>
  <c r="AG18" i="28"/>
  <c r="S34" i="28"/>
  <c r="BN106" i="28"/>
  <c r="BR32" i="28"/>
  <c r="U35" i="28"/>
  <c r="AW44" i="28"/>
  <c r="E116" i="28"/>
  <c r="I18" i="28"/>
  <c r="Y101" i="28"/>
  <c r="M25" i="28"/>
  <c r="BI107" i="28"/>
  <c r="BK27" i="28"/>
  <c r="BA28" i="28"/>
  <c r="AQ103" i="28"/>
  <c r="AQ17" i="28"/>
  <c r="BP106" i="28"/>
  <c r="BA39" i="28"/>
  <c r="Q41" i="28"/>
  <c r="AU44" i="28"/>
  <c r="BA44" i="28"/>
  <c r="BE44" i="28" s="1"/>
  <c r="I45" i="28"/>
  <c r="AG50" i="28"/>
  <c r="AA61" i="28"/>
  <c r="BG109" i="28"/>
  <c r="BK64" i="28"/>
  <c r="Q111" i="28"/>
  <c r="BA66" i="28"/>
  <c r="AW66" i="28"/>
  <c r="AI7" i="28"/>
  <c r="AJ7" i="28" s="1"/>
  <c r="AU14" i="28"/>
  <c r="BN116" i="28"/>
  <c r="BR116" i="28" s="1"/>
  <c r="AC101" i="28"/>
  <c r="Q25" i="28"/>
  <c r="BP107" i="28"/>
  <c r="BG104" i="28"/>
  <c r="BK28" i="28"/>
  <c r="AS29" i="28"/>
  <c r="AC102" i="28"/>
  <c r="BG34" i="28"/>
  <c r="BK34" i="28" s="1"/>
  <c r="BK35" i="28"/>
  <c r="BA36" i="28"/>
  <c r="AS45" i="28"/>
  <c r="AQ116" i="28"/>
  <c r="AQ119" i="28" s="1"/>
  <c r="AQ120" i="28" s="1"/>
  <c r="BR18" i="28"/>
  <c r="AG19" i="28"/>
  <c r="BP101" i="28"/>
  <c r="BI108" i="28"/>
  <c r="AQ107" i="28"/>
  <c r="BN104" i="28"/>
  <c r="AW29" i="28"/>
  <c r="AW112" i="28" s="1"/>
  <c r="G102" i="28"/>
  <c r="AG30" i="28"/>
  <c r="BI102" i="28"/>
  <c r="Y103" i="28"/>
  <c r="BG103" i="28"/>
  <c r="AS42" i="28"/>
  <c r="BK46" i="28"/>
  <c r="BG107" i="28"/>
  <c r="AG60" i="28"/>
  <c r="BR64" i="28"/>
  <c r="BN111" i="28"/>
  <c r="BR66" i="28"/>
  <c r="Y100" i="28"/>
  <c r="AE14" i="28"/>
  <c r="AS18" i="28"/>
  <c r="AI101" i="28"/>
  <c r="AM19" i="28"/>
  <c r="BR19" i="28"/>
  <c r="BK26" i="28"/>
  <c r="S107" i="28"/>
  <c r="AS27" i="28"/>
  <c r="E104" i="28"/>
  <c r="AG28" i="28"/>
  <c r="BP104" i="28"/>
  <c r="I30" i="28"/>
  <c r="AI102" i="28"/>
  <c r="AM30" i="28"/>
  <c r="BN102" i="28"/>
  <c r="BR30" i="28"/>
  <c r="BI103" i="28"/>
  <c r="BI117" i="28" s="1"/>
  <c r="AA36" i="28"/>
  <c r="U42" i="28"/>
  <c r="BI105" i="28"/>
  <c r="AA46" i="28"/>
  <c r="AU46" i="28"/>
  <c r="AU49" i="28"/>
  <c r="AE109" i="28"/>
  <c r="AG109" i="28" s="1"/>
  <c r="AW64" i="28"/>
  <c r="AW109" i="28" s="1"/>
  <c r="AM70" i="28"/>
  <c r="AI69" i="28"/>
  <c r="BA77" i="28"/>
  <c r="BE77" i="28" s="1"/>
  <c r="U77" i="28"/>
  <c r="BA78" i="28"/>
  <c r="U78" i="28"/>
  <c r="K55" i="28"/>
  <c r="O55" i="28" s="1"/>
  <c r="O92" i="28"/>
  <c r="M128" i="28"/>
  <c r="O93" i="28"/>
  <c r="O128" i="28" s="1"/>
  <c r="BC68" i="28"/>
  <c r="G116" i="28"/>
  <c r="BG116" i="28"/>
  <c r="K102" i="28"/>
  <c r="O30" i="28"/>
  <c r="AK102" i="28"/>
  <c r="BP102" i="28"/>
  <c r="AO106" i="28"/>
  <c r="I37" i="28"/>
  <c r="BR39" i="28"/>
  <c r="BA45" i="28"/>
  <c r="U45" i="28"/>
  <c r="AS49" i="28"/>
  <c r="O50" i="28"/>
  <c r="AM50" i="28"/>
  <c r="S55" i="28"/>
  <c r="BC55" i="28" s="1"/>
  <c r="AU56" i="28"/>
  <c r="AY56" i="28" s="1"/>
  <c r="BE57" i="28"/>
  <c r="M59" i="28"/>
  <c r="M47" i="28" s="1"/>
  <c r="AO59" i="28"/>
  <c r="AS64" i="28"/>
  <c r="BA64" i="28"/>
  <c r="AO109" i="28"/>
  <c r="AS109" i="28" s="1"/>
  <c r="AK69" i="28"/>
  <c r="AU74" i="28"/>
  <c r="AM75" i="28"/>
  <c r="AA79" i="28"/>
  <c r="AM82" i="28"/>
  <c r="AU86" i="28"/>
  <c r="AG87" i="28"/>
  <c r="BI116" i="28"/>
  <c r="AC108" i="28"/>
  <c r="BN107" i="28"/>
  <c r="BR107" i="28" s="1"/>
  <c r="W104" i="28"/>
  <c r="AA104" i="28" s="1"/>
  <c r="M102" i="28"/>
  <c r="AO102" i="28"/>
  <c r="AQ106" i="28"/>
  <c r="BC45" i="28"/>
  <c r="BA46" i="28"/>
  <c r="AE59" i="28"/>
  <c r="AE47" i="28" s="1"/>
  <c r="O64" i="28"/>
  <c r="AW74" i="28"/>
  <c r="O75" i="28"/>
  <c r="AG79" i="28"/>
  <c r="S83" i="28"/>
  <c r="U83" i="28" s="1"/>
  <c r="BG127" i="28"/>
  <c r="BG125" i="28" s="1"/>
  <c r="BK91" i="28"/>
  <c r="AO110" i="28"/>
  <c r="AS65" i="28"/>
  <c r="AI111" i="28"/>
  <c r="AM111" i="28" s="1"/>
  <c r="AM66" i="28"/>
  <c r="AU68" i="28"/>
  <c r="AU71" i="28"/>
  <c r="AA71" i="28"/>
  <c r="BC72" i="28"/>
  <c r="U72" i="28"/>
  <c r="AW73" i="28"/>
  <c r="BR73" i="28"/>
  <c r="BA85" i="28"/>
  <c r="U85" i="28"/>
  <c r="I89" i="28"/>
  <c r="E88" i="28"/>
  <c r="I88" i="28" s="1"/>
  <c r="AG126" i="28"/>
  <c r="BC126" i="28"/>
  <c r="BR55" i="28"/>
  <c r="BC60" i="28"/>
  <c r="BC107" i="28" s="1"/>
  <c r="U60" i="28"/>
  <c r="S59" i="28"/>
  <c r="BK60" i="28"/>
  <c r="AQ110" i="28"/>
  <c r="O111" i="28"/>
  <c r="AW70" i="28"/>
  <c r="AW71" i="28"/>
  <c r="AU78" i="28"/>
  <c r="I79" i="28"/>
  <c r="E111" i="28"/>
  <c r="BG83" i="28"/>
  <c r="BN128" i="28"/>
  <c r="BR93" i="28"/>
  <c r="BR128" i="28" s="1"/>
  <c r="BK57" i="28"/>
  <c r="BI59" i="28"/>
  <c r="Q110" i="28"/>
  <c r="AO111" i="28"/>
  <c r="AS111" i="28" s="1"/>
  <c r="AS66" i="28"/>
  <c r="AA70" i="28"/>
  <c r="AG73" i="28"/>
  <c r="AU73" i="28"/>
  <c r="O87" i="28"/>
  <c r="AO88" i="28"/>
  <c r="AO127" i="28" s="1"/>
  <c r="AS89" i="28"/>
  <c r="BA89" i="28"/>
  <c r="AW77" i="28"/>
  <c r="BC78" i="28"/>
  <c r="BC110" i="28" s="1"/>
  <c r="AQ83" i="28"/>
  <c r="AQ113" i="28" s="1"/>
  <c r="AE101" i="28"/>
  <c r="W108" i="28"/>
  <c r="AU26" i="28"/>
  <c r="G104" i="28"/>
  <c r="AE104" i="28"/>
  <c r="O112" i="28"/>
  <c r="Y106" i="28"/>
  <c r="AA106" i="28" s="1"/>
  <c r="AW32" i="28"/>
  <c r="AQ105" i="28"/>
  <c r="BA60" i="28"/>
  <c r="BE60" i="28" s="1"/>
  <c r="BA62" i="28"/>
  <c r="AU62" i="28"/>
  <c r="BK63" i="28"/>
  <c r="S111" i="28"/>
  <c r="BC66" i="28"/>
  <c r="BA72" i="28"/>
  <c r="AU75" i="28"/>
  <c r="AU77" i="28"/>
  <c r="AW78" i="28"/>
  <c r="AG81" i="28"/>
  <c r="I85" i="28"/>
  <c r="E83" i="28"/>
  <c r="AE127" i="28"/>
  <c r="AE125" i="28" s="1"/>
  <c r="BR126" i="28"/>
  <c r="W128" i="28"/>
  <c r="AU93" i="28"/>
  <c r="AY93" i="28" s="1"/>
  <c r="AA93" i="28"/>
  <c r="Q126" i="28"/>
  <c r="Q115" i="28"/>
  <c r="BA94" i="28"/>
  <c r="AU64" i="28"/>
  <c r="AI110" i="28"/>
  <c r="AM110" i="28" s="1"/>
  <c r="BP110" i="28"/>
  <c r="W111" i="28"/>
  <c r="AA66" i="28"/>
  <c r="AW68" i="28"/>
  <c r="BA69" i="28"/>
  <c r="BC73" i="28"/>
  <c r="BC84" i="28"/>
  <c r="AW89" i="28"/>
  <c r="G127" i="28"/>
  <c r="AM91" i="28"/>
  <c r="AA60" i="28"/>
  <c r="W59" i="28"/>
  <c r="W47" i="28" s="1"/>
  <c r="K110" i="28"/>
  <c r="AK110" i="28"/>
  <c r="Y111" i="28"/>
  <c r="AA68" i="28"/>
  <c r="W69" i="28"/>
  <c r="AU82" i="28"/>
  <c r="U84" i="28"/>
  <c r="AA89" i="28"/>
  <c r="I91" i="28"/>
  <c r="U94" i="28"/>
  <c r="AI116" i="28"/>
  <c r="G108" i="28"/>
  <c r="AE108" i="28"/>
  <c r="K107" i="28"/>
  <c r="W102" i="28"/>
  <c r="AU30" i="28"/>
  <c r="AC103" i="28"/>
  <c r="W105" i="28"/>
  <c r="AA45" i="28"/>
  <c r="AM46" i="28"/>
  <c r="AW57" i="28"/>
  <c r="BR61" i="28"/>
  <c r="M110" i="28"/>
  <c r="AM65" i="28"/>
  <c r="AC111" i="28"/>
  <c r="AW72" i="28"/>
  <c r="AU79" i="28"/>
  <c r="AG89" i="28"/>
  <c r="AU89" i="28"/>
  <c r="AC88" i="28"/>
  <c r="BN88" i="28"/>
  <c r="BR88" i="28" s="1"/>
  <c r="BR127" i="28" s="1"/>
  <c r="BR89" i="28"/>
  <c r="K127" i="28"/>
  <c r="K125" i="28" s="1"/>
  <c r="O91" i="28"/>
  <c r="O127" i="28" s="1"/>
  <c r="BK93" i="28"/>
  <c r="G105" i="28"/>
  <c r="BG105" i="28"/>
  <c r="AS48" i="28"/>
  <c r="AW49" i="28"/>
  <c r="O56" i="28"/>
  <c r="S110" i="28"/>
  <c r="AE111" i="28"/>
  <c r="BK70" i="28"/>
  <c r="BR74" i="28"/>
  <c r="Y69" i="28"/>
  <c r="S115" i="28"/>
  <c r="BC94" i="28"/>
  <c r="BC115" i="28" s="1"/>
  <c r="I51" i="28"/>
  <c r="O63" i="28"/>
  <c r="AS70" i="28"/>
  <c r="BE81" i="28"/>
  <c r="BI83" i="28"/>
  <c r="BI113" i="28" s="1"/>
  <c r="H127" i="28"/>
  <c r="H101" i="28"/>
  <c r="Y127" i="28"/>
  <c r="Y125" i="28" s="1"/>
  <c r="AK128" i="28"/>
  <c r="BP128" i="28"/>
  <c r="W110" i="28"/>
  <c r="AU65" i="28"/>
  <c r="AA72" i="28"/>
  <c r="BP127" i="28"/>
  <c r="AS96" i="28"/>
  <c r="AS91" i="28"/>
  <c r="AA65" i="28"/>
  <c r="BR76" i="28"/>
  <c r="U82" i="28"/>
  <c r="U91" i="28"/>
  <c r="U93" i="28"/>
  <c r="U128" i="28" s="1"/>
  <c r="AU115" i="28"/>
  <c r="AY115" i="28" s="1"/>
  <c r="AY94" i="28"/>
  <c r="O134" i="28"/>
  <c r="U134" i="28" s="1"/>
  <c r="W127" i="28"/>
  <c r="W125" i="28" s="1"/>
  <c r="AU91" i="28"/>
  <c r="O94" i="28"/>
  <c r="I114" i="28"/>
  <c r="H125" i="28"/>
  <c r="H129" i="28" s="1"/>
  <c r="M95" i="28" l="1"/>
  <c r="O47" i="28"/>
  <c r="BN47" i="28"/>
  <c r="I107" i="28"/>
  <c r="AW17" i="28"/>
  <c r="AM127" i="28"/>
  <c r="AM125" i="28" s="1"/>
  <c r="U19" i="28"/>
  <c r="I34" i="28"/>
  <c r="Y95" i="28"/>
  <c r="Y97" i="28" s="1"/>
  <c r="AI127" i="28"/>
  <c r="AI125" i="28" s="1"/>
  <c r="AK125" i="28"/>
  <c r="AA116" i="28"/>
  <c r="BE42" i="28"/>
  <c r="AY86" i="28"/>
  <c r="M17" i="28"/>
  <c r="BC108" i="28"/>
  <c r="BE32" i="28"/>
  <c r="BK69" i="28"/>
  <c r="BE87" i="28"/>
  <c r="BE84" i="28"/>
  <c r="BC111" i="28"/>
  <c r="Q17" i="28"/>
  <c r="Q95" i="28" s="1"/>
  <c r="Y119" i="28"/>
  <c r="Y120" i="28" s="1"/>
  <c r="BE38" i="28"/>
  <c r="I41" i="28"/>
  <c r="I102" i="28"/>
  <c r="AY58" i="28"/>
  <c r="I103" i="28"/>
  <c r="O83" i="28"/>
  <c r="AU103" i="28"/>
  <c r="E17" i="28"/>
  <c r="I17" i="28" s="1"/>
  <c r="AU83" i="28"/>
  <c r="AU113" i="28" s="1"/>
  <c r="BC102" i="28"/>
  <c r="U116" i="28"/>
  <c r="AY43" i="28"/>
  <c r="AM105" i="28"/>
  <c r="BR102" i="28"/>
  <c r="U41" i="28"/>
  <c r="O41" i="28"/>
  <c r="S17" i="28"/>
  <c r="BR108" i="28"/>
  <c r="AA34" i="28"/>
  <c r="U109" i="28"/>
  <c r="BE85" i="28"/>
  <c r="BE39" i="28"/>
  <c r="M108" i="28"/>
  <c r="O108" i="28" s="1"/>
  <c r="BE127" i="28"/>
  <c r="BE82" i="28"/>
  <c r="BE71" i="28"/>
  <c r="AW107" i="28"/>
  <c r="AY92" i="28"/>
  <c r="AM109" i="28"/>
  <c r="AW108" i="28"/>
  <c r="AY80" i="28"/>
  <c r="AY91" i="28"/>
  <c r="BE36" i="28"/>
  <c r="AG106" i="28"/>
  <c r="AW111" i="28"/>
  <c r="AY111" i="28" s="1"/>
  <c r="E108" i="28"/>
  <c r="I108" i="28" s="1"/>
  <c r="AY48" i="28"/>
  <c r="AS55" i="28"/>
  <c r="E117" i="28"/>
  <c r="BE72" i="28"/>
  <c r="I111" i="28"/>
  <c r="BI119" i="28"/>
  <c r="BI120" i="28" s="1"/>
  <c r="AY49" i="28"/>
  <c r="AQ117" i="28"/>
  <c r="AS34" i="28"/>
  <c r="I106" i="28"/>
  <c r="AO101" i="28"/>
  <c r="AO119" i="28" s="1"/>
  <c r="AO120" i="28" s="1"/>
  <c r="AS120" i="28" s="1"/>
  <c r="BE76" i="28"/>
  <c r="BC88" i="28"/>
  <c r="AY79" i="28"/>
  <c r="AA102" i="28"/>
  <c r="AY73" i="28"/>
  <c r="AY68" i="28"/>
  <c r="BR111" i="28"/>
  <c r="AG107" i="28"/>
  <c r="AY57" i="28"/>
  <c r="AY89" i="28"/>
  <c r="O107" i="28"/>
  <c r="AY78" i="28"/>
  <c r="O59" i="28"/>
  <c r="BK109" i="28"/>
  <c r="AY60" i="28"/>
  <c r="U88" i="28"/>
  <c r="U127" i="28" s="1"/>
  <c r="O104" i="28"/>
  <c r="AM108" i="28"/>
  <c r="BE61" i="28"/>
  <c r="BC106" i="28"/>
  <c r="G17" i="28"/>
  <c r="G95" i="28" s="1"/>
  <c r="G122" i="28" s="1"/>
  <c r="G123" i="28" s="1"/>
  <c r="AY87" i="28"/>
  <c r="BI127" i="28"/>
  <c r="BI125" i="28" s="1"/>
  <c r="BE63" i="28"/>
  <c r="O106" i="28"/>
  <c r="AY75" i="28"/>
  <c r="BK110" i="28"/>
  <c r="I105" i="28"/>
  <c r="BE46" i="28"/>
  <c r="BK104" i="28"/>
  <c r="AA83" i="28"/>
  <c r="BC17" i="28"/>
  <c r="BE73" i="28"/>
  <c r="AM34" i="28"/>
  <c r="BC105" i="28"/>
  <c r="BP119" i="28"/>
  <c r="BP120" i="28" s="1"/>
  <c r="BE56" i="28"/>
  <c r="BA106" i="28"/>
  <c r="BE106" i="28" s="1"/>
  <c r="BE112" i="28"/>
  <c r="BE18" i="28"/>
  <c r="AY82" i="28"/>
  <c r="AY39" i="28"/>
  <c r="U105" i="28"/>
  <c r="AA110" i="28"/>
  <c r="BE93" i="28"/>
  <c r="AY35" i="28"/>
  <c r="BK107" i="28"/>
  <c r="AG17" i="28"/>
  <c r="BC116" i="28"/>
  <c r="AW103" i="28"/>
  <c r="AY103" i="28" s="1"/>
  <c r="AK95" i="28"/>
  <c r="AK118" i="28" s="1"/>
  <c r="G101" i="28"/>
  <c r="I101" i="28" s="1"/>
  <c r="AE95" i="28"/>
  <c r="AE122" i="28" s="1"/>
  <c r="BE29" i="28"/>
  <c r="U110" i="28"/>
  <c r="BA114" i="28"/>
  <c r="BE114" i="28" s="1"/>
  <c r="AW104" i="28"/>
  <c r="Z8" i="28"/>
  <c r="AW34" i="28"/>
  <c r="AA111" i="28"/>
  <c r="BK59" i="28"/>
  <c r="BK47" i="28" s="1"/>
  <c r="BK95" i="28" s="1"/>
  <c r="M118" i="28"/>
  <c r="AW116" i="28"/>
  <c r="AY61" i="28"/>
  <c r="AS105" i="28"/>
  <c r="BK127" i="28"/>
  <c r="AS106" i="28"/>
  <c r="AY46" i="28"/>
  <c r="BK108" i="28"/>
  <c r="AY37" i="28"/>
  <c r="O34" i="28"/>
  <c r="O95" i="28" s="1"/>
  <c r="BR47" i="28"/>
  <c r="AY42" i="28"/>
  <c r="BI8" i="28"/>
  <c r="BC8" i="28"/>
  <c r="BD8" i="28" s="1"/>
  <c r="AR8" i="28"/>
  <c r="BE62" i="28"/>
  <c r="AY36" i="28"/>
  <c r="BC104" i="28"/>
  <c r="I19" i="28"/>
  <c r="BR105" i="28"/>
  <c r="AY38" i="28"/>
  <c r="AA105" i="28"/>
  <c r="BE89" i="28"/>
  <c r="BE92" i="28"/>
  <c r="BE33" i="28"/>
  <c r="AG108" i="28"/>
  <c r="AU111" i="28"/>
  <c r="Y117" i="28"/>
  <c r="AO125" i="28"/>
  <c r="AG102" i="28"/>
  <c r="U111" i="28"/>
  <c r="AY77" i="28"/>
  <c r="BP125" i="28"/>
  <c r="AS88" i="28"/>
  <c r="AS127" i="28" s="1"/>
  <c r="AS125" i="28" s="1"/>
  <c r="BE78" i="28"/>
  <c r="U107" i="28"/>
  <c r="BC34" i="28"/>
  <c r="BE34" i="28" s="1"/>
  <c r="AY70" i="28"/>
  <c r="AY72" i="28"/>
  <c r="AK119" i="28"/>
  <c r="AK120" i="28" s="1"/>
  <c r="I109" i="28"/>
  <c r="AY84" i="28"/>
  <c r="AA107" i="28"/>
  <c r="M135" i="28"/>
  <c r="M97" i="28"/>
  <c r="M122" i="28"/>
  <c r="M123" i="28" s="1"/>
  <c r="M121" i="28"/>
  <c r="I116" i="28"/>
  <c r="AS83" i="28"/>
  <c r="AA101" i="28"/>
  <c r="W119" i="28"/>
  <c r="W120" i="28" s="1"/>
  <c r="BN113" i="28"/>
  <c r="BR113" i="28" s="1"/>
  <c r="BR83" i="28"/>
  <c r="BA113" i="28"/>
  <c r="BA55" i="28"/>
  <c r="BE55" i="28" s="1"/>
  <c r="U55" i="28"/>
  <c r="BA7" i="28"/>
  <c r="BB7" i="28" s="1"/>
  <c r="BG7" i="28"/>
  <c r="AP7" i="28"/>
  <c r="BA5" i="28"/>
  <c r="BB5" i="28" s="1"/>
  <c r="BG5" i="28"/>
  <c r="AP5" i="28"/>
  <c r="K101" i="28"/>
  <c r="O101" i="28" s="1"/>
  <c r="O19" i="28"/>
  <c r="K17" i="28"/>
  <c r="O17" i="28" s="1"/>
  <c r="AU88" i="28"/>
  <c r="AG88" i="28"/>
  <c r="AC95" i="28"/>
  <c r="E127" i="28"/>
  <c r="E125" i="28" s="1"/>
  <c r="BR104" i="28"/>
  <c r="BE66" i="28"/>
  <c r="BA111" i="28"/>
  <c r="BE111" i="28" s="1"/>
  <c r="BA110" i="28"/>
  <c r="BE110" i="28" s="1"/>
  <c r="AS128" i="28"/>
  <c r="AY66" i="28"/>
  <c r="AS113" i="28"/>
  <c r="BC5" i="28"/>
  <c r="BD5" i="28" s="1"/>
  <c r="BI5" i="28"/>
  <c r="AR5" i="28"/>
  <c r="AU110" i="28"/>
  <c r="AY65" i="28"/>
  <c r="AU109" i="28"/>
  <c r="AY109" i="28" s="1"/>
  <c r="AY64" i="28"/>
  <c r="BN127" i="28"/>
  <c r="BN125" i="28" s="1"/>
  <c r="BK102" i="28"/>
  <c r="AS116" i="28"/>
  <c r="BI47" i="28"/>
  <c r="BI95" i="28" s="1"/>
  <c r="BG8" i="28"/>
  <c r="AP8" i="28"/>
  <c r="BA8" i="28"/>
  <c r="BB8" i="28" s="1"/>
  <c r="BC9" i="28"/>
  <c r="BD9" i="28" s="1"/>
  <c r="AR9" i="28"/>
  <c r="BI9" i="28"/>
  <c r="AC117" i="28"/>
  <c r="AG103" i="28"/>
  <c r="AU69" i="28"/>
  <c r="AA69" i="28"/>
  <c r="W95" i="28"/>
  <c r="BC59" i="28"/>
  <c r="BC47" i="28" s="1"/>
  <c r="BA109" i="28"/>
  <c r="BE109" i="28" s="1"/>
  <c r="BE64" i="28"/>
  <c r="BA105" i="28"/>
  <c r="BE105" i="28" s="1"/>
  <c r="BE45" i="28"/>
  <c r="G97" i="28"/>
  <c r="G121" i="28"/>
  <c r="BR103" i="28"/>
  <c r="BN117" i="28"/>
  <c r="AU17" i="28"/>
  <c r="O116" i="28"/>
  <c r="AM59" i="28"/>
  <c r="AM47" i="28" s="1"/>
  <c r="AI47" i="28"/>
  <c r="AI95" i="28" s="1"/>
  <c r="AW101" i="28"/>
  <c r="AU102" i="28"/>
  <c r="AY30" i="28"/>
  <c r="AU108" i="28"/>
  <c r="AY26" i="28"/>
  <c r="BN95" i="28"/>
  <c r="AS110" i="28"/>
  <c r="AM69" i="28"/>
  <c r="AI119" i="28"/>
  <c r="AI120" i="28" s="1"/>
  <c r="AM120" i="28" s="1"/>
  <c r="AM101" i="28"/>
  <c r="BR110" i="28"/>
  <c r="AW100" i="28"/>
  <c r="BI14" i="28"/>
  <c r="BI100" i="28" s="1"/>
  <c r="AG59" i="28"/>
  <c r="AG47" i="28" s="1"/>
  <c r="G125" i="28"/>
  <c r="AU107" i="28"/>
  <c r="AY27" i="28"/>
  <c r="O126" i="28"/>
  <c r="O125" i="28" s="1"/>
  <c r="BP122" i="28"/>
  <c r="BP123" i="28" s="1"/>
  <c r="BP97" i="28"/>
  <c r="BA115" i="28"/>
  <c r="BE115" i="28" s="1"/>
  <c r="BE94" i="28"/>
  <c r="BR125" i="28"/>
  <c r="AA108" i="28"/>
  <c r="AS59" i="28"/>
  <c r="AS47" i="28" s="1"/>
  <c r="AO47" i="28"/>
  <c r="AO95" i="28" s="1"/>
  <c r="Q101" i="28"/>
  <c r="BA104" i="28"/>
  <c r="BE28" i="28"/>
  <c r="AQ95" i="28"/>
  <c r="AW88" i="28"/>
  <c r="AW110" i="28"/>
  <c r="AU112" i="28"/>
  <c r="AY112" i="28" s="1"/>
  <c r="AY29" i="28"/>
  <c r="AW47" i="28"/>
  <c r="AO100" i="28"/>
  <c r="BA14" i="28"/>
  <c r="BA100" i="28" s="1"/>
  <c r="AW59" i="28"/>
  <c r="BK105" i="28"/>
  <c r="U115" i="28"/>
  <c r="AY62" i="28"/>
  <c r="BG113" i="28"/>
  <c r="BK113" i="28" s="1"/>
  <c r="BK83" i="28"/>
  <c r="AM102" i="28"/>
  <c r="U17" i="28"/>
  <c r="BR106" i="28"/>
  <c r="AG104" i="28"/>
  <c r="AU34" i="28"/>
  <c r="O25" i="28"/>
  <c r="AW105" i="28"/>
  <c r="U34" i="28"/>
  <c r="BN9" i="28"/>
  <c r="BH9" i="28"/>
  <c r="BO9" i="28" s="1"/>
  <c r="AY31" i="28"/>
  <c r="AG111" i="28"/>
  <c r="O110" i="28"/>
  <c r="BA126" i="28"/>
  <c r="BE126" i="28" s="1"/>
  <c r="Q125" i="28"/>
  <c r="S125" i="28"/>
  <c r="AE100" i="28"/>
  <c r="AQ14" i="28"/>
  <c r="BG117" i="28"/>
  <c r="BK103" i="28"/>
  <c r="U25" i="28"/>
  <c r="AS107" i="28"/>
  <c r="AY85" i="28"/>
  <c r="BC103" i="28"/>
  <c r="BA108" i="28"/>
  <c r="BE108" i="28" s="1"/>
  <c r="BE26" i="28"/>
  <c r="BG119" i="28"/>
  <c r="BG120" i="28" s="1"/>
  <c r="BK120" i="28" s="1"/>
  <c r="BK101" i="28"/>
  <c r="AS103" i="28"/>
  <c r="AO117" i="28"/>
  <c r="BA59" i="28"/>
  <c r="U59" i="28"/>
  <c r="AY45" i="28"/>
  <c r="AU105" i="28"/>
  <c r="S47" i="28"/>
  <c r="S95" i="28" s="1"/>
  <c r="M125" i="28"/>
  <c r="BA107" i="28"/>
  <c r="BE107" i="28" s="1"/>
  <c r="BR101" i="28"/>
  <c r="BN119" i="28"/>
  <c r="BN120" i="28" s="1"/>
  <c r="BR120" i="28" s="1"/>
  <c r="AI113" i="28"/>
  <c r="AM113" i="28" s="1"/>
  <c r="AM83" i="28"/>
  <c r="AA59" i="28"/>
  <c r="AA47" i="28" s="1"/>
  <c r="AU59" i="28"/>
  <c r="AA128" i="28"/>
  <c r="AA125" i="28" s="1"/>
  <c r="AS69" i="28"/>
  <c r="BC69" i="28"/>
  <c r="BE69" i="28" s="1"/>
  <c r="AC113" i="28"/>
  <c r="AG113" i="28" s="1"/>
  <c r="AG83" i="28"/>
  <c r="BP7" i="28"/>
  <c r="BQ7" i="28" s="1"/>
  <c r="BJ7" i="28"/>
  <c r="I59" i="28"/>
  <c r="E47" i="28"/>
  <c r="I47" i="28" s="1"/>
  <c r="BG95" i="28"/>
  <c r="AM116" i="28"/>
  <c r="U102" i="28"/>
  <c r="AU106" i="28"/>
  <c r="AY32" i="28"/>
  <c r="AW69" i="28"/>
  <c r="AS17" i="28"/>
  <c r="BE31" i="28"/>
  <c r="BA103" i="28"/>
  <c r="BN6" i="28"/>
  <c r="BH6" i="28"/>
  <c r="BO6" i="28" s="1"/>
  <c r="W117" i="28"/>
  <c r="AA103" i="28"/>
  <c r="BK128" i="28"/>
  <c r="E113" i="28"/>
  <c r="I113" i="28" s="1"/>
  <c r="I83" i="28"/>
  <c r="AS102" i="28"/>
  <c r="AG101" i="28"/>
  <c r="AC119" i="28"/>
  <c r="AC120" i="28" s="1"/>
  <c r="AG120" i="28" s="1"/>
  <c r="Q108" i="28"/>
  <c r="U108" i="28" s="1"/>
  <c r="BA102" i="28"/>
  <c r="BE102" i="28" s="1"/>
  <c r="BE30" i="28"/>
  <c r="BC6" i="28"/>
  <c r="BD6" i="28" s="1"/>
  <c r="BI6" i="28"/>
  <c r="AR6" i="28"/>
  <c r="AK9" i="28"/>
  <c r="AL9" i="28" s="1"/>
  <c r="Z9" i="28"/>
  <c r="AI117" i="28"/>
  <c r="AM103" i="28"/>
  <c r="U126" i="28"/>
  <c r="S113" i="28"/>
  <c r="U113" i="28" s="1"/>
  <c r="BC83" i="28"/>
  <c r="BC113" i="28" s="1"/>
  <c r="O102" i="28"/>
  <c r="I104" i="28"/>
  <c r="AU100" i="28"/>
  <c r="BG14" i="28"/>
  <c r="BG100" i="28" s="1"/>
  <c r="I127" i="28"/>
  <c r="I125" i="28" s="1"/>
  <c r="AW106" i="28"/>
  <c r="AC127" i="28"/>
  <c r="AC125" i="28" s="1"/>
  <c r="AY71" i="28"/>
  <c r="AY74" i="28"/>
  <c r="BK116" i="28"/>
  <c r="AY44" i="28"/>
  <c r="AG116" i="28"/>
  <c r="BC19" i="28"/>
  <c r="BC101" i="28" s="1"/>
  <c r="S101" i="28"/>
  <c r="S117" i="28" s="1"/>
  <c r="Y113" i="28"/>
  <c r="AA113" i="28" s="1"/>
  <c r="AW83" i="28"/>
  <c r="AW113" i="28" s="1"/>
  <c r="AU101" i="28"/>
  <c r="AY19" i="28"/>
  <c r="AU104" i="28"/>
  <c r="AY28" i="28"/>
  <c r="K117" i="28"/>
  <c r="O103" i="28"/>
  <c r="BE68" i="28"/>
  <c r="U103" i="28"/>
  <c r="AI9" i="28"/>
  <c r="AJ9" i="28" s="1"/>
  <c r="X9" i="28"/>
  <c r="BA88" i="28"/>
  <c r="AY33" i="28"/>
  <c r="BA116" i="28"/>
  <c r="AW102" i="28"/>
  <c r="BP117" i="28"/>
  <c r="BP118" i="28" s="1"/>
  <c r="AU116" i="28"/>
  <c r="Q135" i="28" l="1"/>
  <c r="Q122" i="28"/>
  <c r="Q129" i="28" s="1"/>
  <c r="Q97" i="28"/>
  <c r="Q121" i="28"/>
  <c r="BA17" i="28"/>
  <c r="BE17" i="28" s="1"/>
  <c r="AY116" i="28"/>
  <c r="Y122" i="28"/>
  <c r="Y123" i="28" s="1"/>
  <c r="BR95" i="28"/>
  <c r="BR97" i="28" s="1"/>
  <c r="BR98" i="28" s="1"/>
  <c r="AS101" i="28"/>
  <c r="AQ118" i="28"/>
  <c r="AA120" i="28"/>
  <c r="Y118" i="28"/>
  <c r="AY104" i="28"/>
  <c r="AY17" i="28"/>
  <c r="BK125" i="28"/>
  <c r="AA95" i="28"/>
  <c r="AY107" i="28"/>
  <c r="BE116" i="28"/>
  <c r="I95" i="28"/>
  <c r="I122" i="28" s="1"/>
  <c r="I123" i="28" s="1"/>
  <c r="AY34" i="28"/>
  <c r="G117" i="28"/>
  <c r="G118" i="28" s="1"/>
  <c r="AY108" i="28"/>
  <c r="AK122" i="28"/>
  <c r="AK123" i="28" s="1"/>
  <c r="BE19" i="28"/>
  <c r="BE88" i="28"/>
  <c r="AS95" i="28"/>
  <c r="AS97" i="28" s="1"/>
  <c r="AS98" i="28" s="1"/>
  <c r="AK97" i="28"/>
  <c r="E95" i="28"/>
  <c r="E118" i="28" s="1"/>
  <c r="AW117" i="28"/>
  <c r="AE123" i="28"/>
  <c r="AE129" i="28"/>
  <c r="AE130" i="28" s="1"/>
  <c r="AY105" i="28"/>
  <c r="AE97" i="28"/>
  <c r="BP8" i="28"/>
  <c r="BQ8" i="28" s="1"/>
  <c r="BJ8" i="28"/>
  <c r="AM95" i="28"/>
  <c r="AM122" i="28" s="1"/>
  <c r="AY101" i="28"/>
  <c r="BE104" i="28"/>
  <c r="AU47" i="28"/>
  <c r="U101" i="28"/>
  <c r="AY110" i="28"/>
  <c r="AE118" i="28"/>
  <c r="K95" i="28"/>
  <c r="K122" i="28" s="1"/>
  <c r="AY113" i="28"/>
  <c r="M129" i="28"/>
  <c r="M130" i="28" s="1"/>
  <c r="AY106" i="28"/>
  <c r="AY83" i="28"/>
  <c r="BC117" i="28"/>
  <c r="AS122" i="28"/>
  <c r="AS123" i="28" s="1"/>
  <c r="O117" i="28"/>
  <c r="O118" i="28" s="1"/>
  <c r="BJ6" i="28"/>
  <c r="BP6" i="28"/>
  <c r="BQ6" i="28" s="1"/>
  <c r="BK122" i="28"/>
  <c r="BK123" i="28" s="1"/>
  <c r="BK97" i="28"/>
  <c r="BK98" i="28" s="1"/>
  <c r="BC125" i="28"/>
  <c r="BJ5" i="28"/>
  <c r="BP5" i="28"/>
  <c r="BQ5" i="28" s="1"/>
  <c r="BA125" i="28"/>
  <c r="AQ97" i="28"/>
  <c r="AQ122" i="28"/>
  <c r="O97" i="28"/>
  <c r="O122" i="28"/>
  <c r="O123" i="28" s="1"/>
  <c r="AC118" i="28"/>
  <c r="AG117" i="28"/>
  <c r="BI97" i="28"/>
  <c r="BI122" i="28"/>
  <c r="BN7" i="28"/>
  <c r="BH7" i="28"/>
  <c r="BO7" i="28" s="1"/>
  <c r="E122" i="28"/>
  <c r="E123" i="28" s="1"/>
  <c r="E97" i="28"/>
  <c r="U125" i="28"/>
  <c r="AA117" i="28"/>
  <c r="AA118" i="28" s="1"/>
  <c r="W118" i="28"/>
  <c r="S135" i="28"/>
  <c r="U135" i="28" s="1"/>
  <c r="S97" i="28"/>
  <c r="S121" i="28"/>
  <c r="U121" i="28" s="1"/>
  <c r="S122" i="28"/>
  <c r="BC95" i="28"/>
  <c r="U47" i="28"/>
  <c r="U95" i="28" s="1"/>
  <c r="AY102" i="28"/>
  <c r="BP9" i="28"/>
  <c r="BQ9" i="28" s="1"/>
  <c r="BJ9" i="28"/>
  <c r="AC122" i="28"/>
  <c r="AC123" i="28" s="1"/>
  <c r="AC97" i="28"/>
  <c r="BP129" i="28"/>
  <c r="BP130" i="28" s="1"/>
  <c r="BG97" i="28"/>
  <c r="BG99" i="28" s="1"/>
  <c r="BG122" i="28"/>
  <c r="AO122" i="28"/>
  <c r="AO97" i="28"/>
  <c r="AO99" i="28" s="1"/>
  <c r="BI118" i="28"/>
  <c r="AG95" i="28"/>
  <c r="AG127" i="28"/>
  <c r="AG125" i="28" s="1"/>
  <c r="S118" i="28"/>
  <c r="BE103" i="28"/>
  <c r="AA122" i="28"/>
  <c r="AA123" i="28" s="1"/>
  <c r="AA97" i="28"/>
  <c r="AI97" i="28"/>
  <c r="AI122" i="28"/>
  <c r="AY88" i="28"/>
  <c r="BE83" i="28"/>
  <c r="AY59" i="28"/>
  <c r="BA101" i="28"/>
  <c r="BE101" i="28" s="1"/>
  <c r="G129" i="28"/>
  <c r="G130" i="28" s="1"/>
  <c r="BE113" i="28"/>
  <c r="Q117" i="28"/>
  <c r="AI118" i="28"/>
  <c r="AM117" i="28"/>
  <c r="AY47" i="28"/>
  <c r="BE59" i="28"/>
  <c r="BE47" i="28" s="1"/>
  <c r="BA47" i="28"/>
  <c r="BG118" i="28"/>
  <c r="BK117" i="28"/>
  <c r="BK118" i="28" s="1"/>
  <c r="BR122" i="28"/>
  <c r="BR123" i="28" s="1"/>
  <c r="BH8" i="28"/>
  <c r="BO8" i="28" s="1"/>
  <c r="BN8" i="28"/>
  <c r="AO118" i="28"/>
  <c r="AS117" i="28"/>
  <c r="AQ100" i="28"/>
  <c r="BC14" i="28"/>
  <c r="BC100" i="28" s="1"/>
  <c r="BA95" i="28"/>
  <c r="W97" i="28"/>
  <c r="W122" i="28"/>
  <c r="AU95" i="28"/>
  <c r="BN122" i="28"/>
  <c r="BN123" i="28" s="1"/>
  <c r="BN97" i="28"/>
  <c r="BN99" i="28" s="1"/>
  <c r="BN118" i="28"/>
  <c r="BR117" i="28"/>
  <c r="AW95" i="28"/>
  <c r="AY69" i="28"/>
  <c r="BN5" i="28"/>
  <c r="BH5" i="28"/>
  <c r="BO5" i="28" s="1"/>
  <c r="AU117" i="28"/>
  <c r="I117" i="28" l="1"/>
  <c r="BR118" i="28"/>
  <c r="AS118" i="28"/>
  <c r="K118" i="28"/>
  <c r="Q123" i="28"/>
  <c r="BA123" i="28" s="1"/>
  <c r="I97" i="28"/>
  <c r="BA122" i="28"/>
  <c r="BE122" i="28" s="1"/>
  <c r="Y129" i="28"/>
  <c r="Y130" i="28" s="1"/>
  <c r="I118" i="28"/>
  <c r="K97" i="28"/>
  <c r="AK129" i="28"/>
  <c r="AK130" i="28" s="1"/>
  <c r="E121" i="28"/>
  <c r="I121" i="28" s="1"/>
  <c r="BE95" i="28"/>
  <c r="BE121" i="28" s="1"/>
  <c r="AW118" i="28"/>
  <c r="AG118" i="28"/>
  <c r="BA117" i="28"/>
  <c r="AA129" i="28"/>
  <c r="AA130" i="28" s="1"/>
  <c r="AM97" i="28"/>
  <c r="AY95" i="28"/>
  <c r="BC118" i="28"/>
  <c r="BR129" i="28"/>
  <c r="BR130" i="28" s="1"/>
  <c r="E129" i="28"/>
  <c r="E130" i="28" s="1"/>
  <c r="K135" i="28"/>
  <c r="O135" i="28" s="1"/>
  <c r="BE125" i="28"/>
  <c r="O129" i="28"/>
  <c r="O130" i="28" s="1"/>
  <c r="AM118" i="28"/>
  <c r="AC129" i="28"/>
  <c r="AC130" i="28" s="1"/>
  <c r="K121" i="28"/>
  <c r="O121" i="28" s="1"/>
  <c r="BA129" i="28"/>
  <c r="Q130" i="28"/>
  <c r="BI123" i="28"/>
  <c r="BI129" i="28"/>
  <c r="BI130" i="28" s="1"/>
  <c r="BK129" i="28"/>
  <c r="BK130" i="28" s="1"/>
  <c r="W123" i="28"/>
  <c r="W129" i="28"/>
  <c r="W130" i="28" s="1"/>
  <c r="K123" i="28"/>
  <c r="K129" i="28"/>
  <c r="K130" i="28" s="1"/>
  <c r="S123" i="28"/>
  <c r="BC123" i="28" s="1"/>
  <c r="BC122" i="28"/>
  <c r="Q118" i="28"/>
  <c r="U117" i="28"/>
  <c r="U118" i="28" s="1"/>
  <c r="AY117" i="28"/>
  <c r="AY118" i="28" s="1"/>
  <c r="AU118" i="28"/>
  <c r="BE117" i="28"/>
  <c r="BE118" i="28" s="1"/>
  <c r="BA118" i="28"/>
  <c r="AS129" i="28"/>
  <c r="AS130" i="28" s="1"/>
  <c r="AG122" i="28"/>
  <c r="AG123" i="28" s="1"/>
  <c r="AG97" i="28"/>
  <c r="U122" i="28"/>
  <c r="U123" i="28" s="1"/>
  <c r="U97" i="28"/>
  <c r="AQ123" i="28"/>
  <c r="AQ129" i="28"/>
  <c r="AQ130" i="28" s="1"/>
  <c r="BN129" i="28"/>
  <c r="BN130" i="28" s="1"/>
  <c r="AO123" i="28"/>
  <c r="AO129" i="28"/>
  <c r="AO130" i="28" s="1"/>
  <c r="S129" i="28"/>
  <c r="AI123" i="28"/>
  <c r="AI129" i="28"/>
  <c r="AI130" i="28" s="1"/>
  <c r="BG123" i="28"/>
  <c r="BG129" i="28"/>
  <c r="BG130" i="28" s="1"/>
  <c r="I129" i="28"/>
  <c r="I130" i="28" s="1"/>
  <c r="AM123" i="28"/>
  <c r="AM129" i="28"/>
  <c r="AM130" i="28" s="1"/>
  <c r="BE123" i="28" l="1"/>
  <c r="U129" i="28"/>
  <c r="U130" i="28" s="1"/>
  <c r="AG129" i="28"/>
  <c r="AG130" i="28" s="1"/>
  <c r="BC129" i="28"/>
  <c r="BC130" i="28" s="1"/>
  <c r="S130" i="28"/>
  <c r="BA130" i="28"/>
  <c r="BE129" i="28" l="1"/>
  <c r="BE130" i="28" s="1"/>
</calcChain>
</file>

<file path=xl/sharedStrings.xml><?xml version="1.0" encoding="utf-8"?>
<sst xmlns="http://schemas.openxmlformats.org/spreadsheetml/2006/main" count="1300" uniqueCount="416">
  <si>
    <t>EUR</t>
  </si>
  <si>
    <t>OA010</t>
  </si>
  <si>
    <t>OA011</t>
  </si>
  <si>
    <t>OA020</t>
  </si>
  <si>
    <t>OA021</t>
  </si>
  <si>
    <t>OA011O</t>
  </si>
  <si>
    <t>OA011E</t>
  </si>
  <si>
    <t>OA020O</t>
  </si>
  <si>
    <t>G-UK</t>
  </si>
  <si>
    <t>GBP</t>
  </si>
  <si>
    <t>OA022</t>
  </si>
  <si>
    <t>OA030</t>
  </si>
  <si>
    <t>OA017</t>
  </si>
  <si>
    <t>OA005O</t>
  </si>
  <si>
    <t>OA023</t>
  </si>
  <si>
    <t>OA024</t>
  </si>
  <si>
    <t>OA071O</t>
  </si>
  <si>
    <t>G-DE</t>
  </si>
  <si>
    <t>OA019O</t>
  </si>
  <si>
    <t>G-SP</t>
  </si>
  <si>
    <t>OA060</t>
  </si>
  <si>
    <t>OA040</t>
  </si>
  <si>
    <t>G-BE</t>
  </si>
  <si>
    <t>G-LX</t>
  </si>
  <si>
    <t>G-NL</t>
  </si>
  <si>
    <t>OA005</t>
  </si>
  <si>
    <t>OA006</t>
  </si>
  <si>
    <t>OA036</t>
  </si>
  <si>
    <t>OA041</t>
  </si>
  <si>
    <t>OA031</t>
  </si>
  <si>
    <t>OA037</t>
  </si>
  <si>
    <t>OA031O</t>
  </si>
  <si>
    <t>OA045</t>
  </si>
  <si>
    <t>G-ITAR</t>
  </si>
  <si>
    <t>G-IR</t>
  </si>
  <si>
    <t>G-ITNAZCA</t>
  </si>
  <si>
    <t>G-ITMP</t>
  </si>
  <si>
    <t>G-UKPROMO</t>
  </si>
  <si>
    <t>G-POL</t>
  </si>
  <si>
    <t>PLN</t>
  </si>
  <si>
    <t>G-RESH</t>
  </si>
  <si>
    <t>OA061</t>
  </si>
  <si>
    <t>G-SGP</t>
  </si>
  <si>
    <t>SGD</t>
  </si>
  <si>
    <t>G-DEPROMO</t>
  </si>
  <si>
    <t>G-PRTPROMO</t>
  </si>
  <si>
    <t>G-REIMI</t>
  </si>
  <si>
    <t>OA069</t>
  </si>
  <si>
    <t>Allemagne</t>
  </si>
  <si>
    <t>PMA_8016</t>
  </si>
  <si>
    <t>International Office Property Developement</t>
  </si>
  <si>
    <t>EJ_65631</t>
  </si>
  <si>
    <t>G-REIMDE</t>
  </si>
  <si>
    <t>PMA_8021</t>
  </si>
  <si>
    <t>Investment Management</t>
  </si>
  <si>
    <t>EJ_58476</t>
  </si>
  <si>
    <t>PMA_8020</t>
  </si>
  <si>
    <t>IM International</t>
  </si>
  <si>
    <t>Belgique</t>
  </si>
  <si>
    <t>PMA_8037</t>
  </si>
  <si>
    <t>Letting &amp; Sales</t>
  </si>
  <si>
    <t>EJ_21908</t>
  </si>
  <si>
    <t>PMA_8041</t>
  </si>
  <si>
    <t>Investment</t>
  </si>
  <si>
    <t>PMA_8040</t>
  </si>
  <si>
    <t>Valuation</t>
  </si>
  <si>
    <t>PMA_8017</t>
  </si>
  <si>
    <t>Office Property &amp; Facility Management</t>
  </si>
  <si>
    <t>Espagne</t>
  </si>
  <si>
    <t>EJ_21913</t>
  </si>
  <si>
    <t>NOT USED</t>
  </si>
  <si>
    <t>PMA_8023</t>
  </si>
  <si>
    <t>Consulting &amp; Corporate Real Estate</t>
  </si>
  <si>
    <t>PMA_8015</t>
  </si>
  <si>
    <t>Office Property Developement</t>
  </si>
  <si>
    <t>Irlande</t>
  </si>
  <si>
    <t>EJ_42444</t>
  </si>
  <si>
    <t>Italie</t>
  </si>
  <si>
    <t>EJ_40711</t>
  </si>
  <si>
    <t>PMA_8028</t>
  </si>
  <si>
    <t>Residential Retail Sales/ Residential Agency</t>
  </si>
  <si>
    <t>G-ITBNL</t>
  </si>
  <si>
    <t>EJ_41277</t>
  </si>
  <si>
    <t>EJ_42089</t>
  </si>
  <si>
    <t>EJ_42445</t>
  </si>
  <si>
    <t>PMA_8033</t>
  </si>
  <si>
    <t>Holding</t>
  </si>
  <si>
    <t>EJ_46520</t>
  </si>
  <si>
    <t>Luxembourg</t>
  </si>
  <si>
    <t>EJ_21912</t>
  </si>
  <si>
    <t>G-REIMLUX</t>
  </si>
  <si>
    <t>EJ_47218</t>
  </si>
  <si>
    <t>PMA_8022</t>
  </si>
  <si>
    <t>Investment Services</t>
  </si>
  <si>
    <t>Pays-Bas</t>
  </si>
  <si>
    <t>EJ_58073</t>
  </si>
  <si>
    <t>Pologne</t>
  </si>
  <si>
    <t>EJ_56392</t>
  </si>
  <si>
    <t>PMA_8047</t>
  </si>
  <si>
    <t>Traker</t>
  </si>
  <si>
    <t>Portugal</t>
  </si>
  <si>
    <t>EJ_66208</t>
  </si>
  <si>
    <t>EJ_66206</t>
  </si>
  <si>
    <t>UK</t>
  </si>
  <si>
    <t>EJ_56785</t>
  </si>
  <si>
    <t>France</t>
  </si>
  <si>
    <t>PMA_8018</t>
  </si>
  <si>
    <t>Office Property Management - International</t>
  </si>
  <si>
    <t>PMA_8019</t>
  </si>
  <si>
    <t>PDI</t>
  </si>
  <si>
    <t>PMA_8011</t>
  </si>
  <si>
    <t>Student Residences</t>
  </si>
  <si>
    <t>PMA_8012</t>
  </si>
  <si>
    <t>Tourist Residences</t>
  </si>
  <si>
    <t>EJ_21904</t>
  </si>
  <si>
    <t>EJ_21906</t>
  </si>
  <si>
    <t>EJ_21905</t>
  </si>
  <si>
    <t>EJ_21898</t>
  </si>
  <si>
    <t>PMA_8034</t>
  </si>
  <si>
    <t>Holding International</t>
  </si>
  <si>
    <t>PMA_8025</t>
  </si>
  <si>
    <t>Space consulting &amp; Space Planning</t>
  </si>
  <si>
    <t>PMA_8027</t>
  </si>
  <si>
    <t>Residential Development &amp; Planning</t>
  </si>
  <si>
    <t>PMA_8024</t>
  </si>
  <si>
    <t>Rural Consultancy</t>
  </si>
  <si>
    <t>EJ_21901</t>
  </si>
  <si>
    <t>PMA_8030</t>
  </si>
  <si>
    <t>REOS Portfolio Management</t>
  </si>
  <si>
    <t>PMA_8038</t>
  </si>
  <si>
    <t>Coordination Advisory</t>
  </si>
  <si>
    <t>OA015</t>
  </si>
  <si>
    <t>Residencial Property Sales</t>
  </si>
  <si>
    <t>Residential Property Development</t>
  </si>
  <si>
    <t>Code MAGNITUDE</t>
  </si>
  <si>
    <t>Code SOLARE</t>
  </si>
  <si>
    <t>English description</t>
  </si>
  <si>
    <t>PMA_8026</t>
  </si>
  <si>
    <t>CONSULTING - Debt Advisor</t>
  </si>
  <si>
    <t>PMA_8013</t>
  </si>
  <si>
    <t>PMA_8014</t>
  </si>
  <si>
    <t>OA061O</t>
  </si>
  <si>
    <t>OA070O</t>
  </si>
  <si>
    <t>PMA_8029</t>
  </si>
  <si>
    <t>REOS International coordination (former GCS)</t>
  </si>
  <si>
    <t>OA072O</t>
  </si>
  <si>
    <t>PMA_8031</t>
  </si>
  <si>
    <t>REOS Professional Services</t>
  </si>
  <si>
    <t>OA073O</t>
  </si>
  <si>
    <t>PMA_8032</t>
  </si>
  <si>
    <t xml:space="preserve">REOS Coverage </t>
  </si>
  <si>
    <t>OA050</t>
  </si>
  <si>
    <t>OA016</t>
  </si>
  <si>
    <t>PMA_8007</t>
  </si>
  <si>
    <t>Sales to Investors &amp; Institutional</t>
  </si>
  <si>
    <t>Code Magnitude</t>
  </si>
  <si>
    <t>Lib Magnitude</t>
  </si>
  <si>
    <t>Ccy</t>
  </si>
  <si>
    <t>Lib SOLARE</t>
  </si>
  <si>
    <t>BNPP RE Belgium</t>
  </si>
  <si>
    <t>EJ_47884</t>
  </si>
  <si>
    <t>BNPP REIM Belgium</t>
  </si>
  <si>
    <t>BNPP RE Germany APM</t>
  </si>
  <si>
    <t>EJ_21902</t>
  </si>
  <si>
    <t>BNPPRE Holding GmbH</t>
  </si>
  <si>
    <t>BNPPRE GmbH</t>
  </si>
  <si>
    <t>BNPP REPM GmbH</t>
  </si>
  <si>
    <t>BNPPRE Consult GmbH</t>
  </si>
  <si>
    <t>BNPP RE Germany Promotion</t>
  </si>
  <si>
    <t>BNP Paribas Real Estate Property Devlopment &amp; Services</t>
  </si>
  <si>
    <t>BNPP REIM International</t>
  </si>
  <si>
    <t>BNPP REIM Germany</t>
  </si>
  <si>
    <t>BNPP Real Estate Investment Management Germany GmbH</t>
  </si>
  <si>
    <t>BNPP RE Ireland</t>
  </si>
  <si>
    <t>BNPPRE APM Ireland</t>
  </si>
  <si>
    <t>BNPP RE Advisory Italy</t>
  </si>
  <si>
    <t>BNPPRE Advisory Italy</t>
  </si>
  <si>
    <t>BNPP REIM Italy</t>
  </si>
  <si>
    <t>BNPP Real Estate Investment Management Italy SPA</t>
  </si>
  <si>
    <t>BNPP REPD Italy</t>
  </si>
  <si>
    <t>EJ_56692</t>
  </si>
  <si>
    <t>Sviluppo Residenziale Italia</t>
  </si>
  <si>
    <t>EJ_65323</t>
  </si>
  <si>
    <t>Horti Milano S.R.L.</t>
  </si>
  <si>
    <t>BNPP REPM Italia</t>
  </si>
  <si>
    <t>BNPP REPM Italy</t>
  </si>
  <si>
    <t>BNPP RE Holding Italy</t>
  </si>
  <si>
    <t>BNP Paribas Real Estate Italy</t>
  </si>
  <si>
    <t>BNPP RE Luxembourg</t>
  </si>
  <si>
    <t>BNPPRE APM Luxembourg</t>
  </si>
  <si>
    <t>BNPP REIM Luxembourg</t>
  </si>
  <si>
    <t>BNPP Real Estate Investment Management Luxembourg SA</t>
  </si>
  <si>
    <t>BNPP RE Netherlands</t>
  </si>
  <si>
    <t>BNPPRE Advisory Netherlands</t>
  </si>
  <si>
    <t>BNPP RE Pologne</t>
  </si>
  <si>
    <t>BNPPRE APM Poland</t>
  </si>
  <si>
    <t>BNPP REPD Portugal</t>
  </si>
  <si>
    <t>BNP Paribas Real Estate Portugal Unipessola LDA.</t>
  </si>
  <si>
    <t>EJ_68173</t>
  </si>
  <si>
    <t>Exeo Aura &amp; Echo Offices, Promoçao Imobiliara Lda</t>
  </si>
  <si>
    <t>BNPP RE Singapore</t>
  </si>
  <si>
    <t>BNP Pariabs Real Estate (Singapore) PTE LTD.</t>
  </si>
  <si>
    <t>BNPP RE Spain</t>
  </si>
  <si>
    <t>BNPPRE Spain</t>
  </si>
  <si>
    <t>EJ_56394</t>
  </si>
  <si>
    <t>BNPP REIM Spain</t>
  </si>
  <si>
    <t>EJ_66723</t>
  </si>
  <si>
    <t>Cariboo development SL</t>
  </si>
  <si>
    <t>EJ_67018</t>
  </si>
  <si>
    <t>Wapiti Development S.L.</t>
  </si>
  <si>
    <t>BNPP RE UK</t>
  </si>
  <si>
    <t>BNPPRE APM UK</t>
  </si>
  <si>
    <t>EJ_21900</t>
  </si>
  <si>
    <t>BNPPRE Facilities Management</t>
  </si>
  <si>
    <t>BNPP REIM UK</t>
  </si>
  <si>
    <t>EJ_45220</t>
  </si>
  <si>
    <t>BNPP REIM Ltd.</t>
  </si>
  <si>
    <t>BNPP REPD UK</t>
  </si>
  <si>
    <t>EJ_63267</t>
  </si>
  <si>
    <t>Parker Tower Limited</t>
  </si>
  <si>
    <t>EJ_63264</t>
  </si>
  <si>
    <t>REPD Parker Limited</t>
  </si>
  <si>
    <t>SC=BNPPI-GEST</t>
  </si>
  <si>
    <t>CC=EUR</t>
  </si>
  <si>
    <t>FA sum AR002</t>
  </si>
  <si>
    <t>FL=F99</t>
  </si>
  <si>
    <t>{AC=GFB001}+{AC=GFB002}+{AC=GFB004}+{AC=GFB008}+{AC=GFB009}+{AC=GFB003}</t>
  </si>
  <si>
    <t>{AC=GFB005}+{AC=GFB006}+{AC=GFB110}+{AC=GFB111}+{AC=GFB112}+{AC=GFB120}+{AC=GFB121}+{AC=GFB122}+{AC=GFB100}+{AC=GFB101}+{AC=GFB102}+{AC=GFB130}+{AC=GFB131}+{AC=GFB132}</t>
  </si>
  <si>
    <t>AC sum RGFB</t>
  </si>
  <si>
    <t>CA=A</t>
  </si>
  <si>
    <t>CA=E</t>
  </si>
  <si>
    <t>DP=2026.03</t>
  </si>
  <si>
    <t>DP=2024.13</t>
  </si>
  <si>
    <t>PE=2026.03</t>
  </si>
  <si>
    <t>PE=2024.13</t>
  </si>
  <si>
    <t>{AC=GPNBTOT}+{AC=GR5400}</t>
  </si>
  <si>
    <t>AC=GFDGT</t>
  </si>
  <si>
    <t>AC=GFDGHT</t>
  </si>
  <si>
    <t>AC=GRNAI</t>
  </si>
  <si>
    <t>AC=GS0911</t>
  </si>
  <si>
    <t>AC=GRITC001</t>
  </si>
  <si>
    <t>AC=GRITC002</t>
  </si>
  <si>
    <t>{AC=GRITC003}+{AC=GRITC004}+{AC=GRITC005}</t>
  </si>
  <si>
    <t>{AC=GFB130}+{AC=GFB110}</t>
  </si>
  <si>
    <t>{AC=GFB130}</t>
  </si>
  <si>
    <t>{AC=GFB110}</t>
  </si>
  <si>
    <t>m€</t>
  </si>
  <si>
    <t>SLA Plateforms</t>
  </si>
  <si>
    <t>SLA Steering IM</t>
  </si>
  <si>
    <t>SLA IIC+Retail+Logistics</t>
  </si>
  <si>
    <t>Management Fees + BNPP SA rebilling</t>
  </si>
  <si>
    <t>Total Internal SLA + MF + BNPP SA Rebilling</t>
  </si>
  <si>
    <t>OA sum (TYPE-OA=OA06)</t>
  </si>
  <si>
    <t>Actual N vs Estimate-1 at perimeter &amp; Historical conversion rate</t>
  </si>
  <si>
    <t>Actual Q1 2026</t>
  </si>
  <si>
    <t>Estimate March Q1 2026</t>
  </si>
  <si>
    <t>Variances</t>
  </si>
  <si>
    <t>Standalone</t>
  </si>
  <si>
    <t>Σ</t>
  </si>
  <si>
    <t>Property Development</t>
  </si>
  <si>
    <t>{OA=OA040}+{OA=OA041}</t>
  </si>
  <si>
    <t>{RU=G-CENTRAL}+{RU=P-CENTRAL}</t>
  </si>
  <si>
    <t>FR</t>
  </si>
  <si>
    <t xml:space="preserve">G-central </t>
  </si>
  <si>
    <t>{RU=G-FRMP}+{RU=P-FRMP}+{RU=G-FRAR}+{RU=P-FRAR}</t>
  </si>
  <si>
    <t xml:space="preserve">o/w Prop Dev Offices and Resid </t>
  </si>
  <si>
    <t>OA=OA015</t>
  </si>
  <si>
    <t>{RU=G-FRMP}+{RU=P-FRMP}</t>
  </si>
  <si>
    <t>o/w Residential sales</t>
  </si>
  <si>
    <t>OA sum AR021</t>
  </si>
  <si>
    <t>o/w Serviced Residences</t>
  </si>
  <si>
    <t>OA=OA036</t>
  </si>
  <si>
    <t>o/w Students Residences</t>
  </si>
  <si>
    <t>OA=OA037</t>
  </si>
  <si>
    <t>o/w Business Travellers Residences</t>
  </si>
  <si>
    <t>o/w International</t>
  </si>
  <si>
    <t>OA sum AR028</t>
  </si>
  <si>
    <t>RU sum AF026</t>
  </si>
  <si>
    <t>ITA</t>
  </si>
  <si>
    <t>OA=OA040</t>
  </si>
  <si>
    <t>RU=G-SP</t>
  </si>
  <si>
    <t>ESP</t>
  </si>
  <si>
    <t>{RU=G-DE}+{RU=G-DEPROMO}</t>
  </si>
  <si>
    <t>DE</t>
  </si>
  <si>
    <t>{RU=G-PRTPROMO}</t>
  </si>
  <si>
    <t>PRT</t>
  </si>
  <si>
    <t>RU=G-UKPROMO</t>
  </si>
  <si>
    <t>UK GBP</t>
  </si>
  <si>
    <t>UK (GBP)</t>
  </si>
  <si>
    <t>RU=G-LX</t>
  </si>
  <si>
    <t>LUX</t>
  </si>
  <si>
    <t>OA=OA045</t>
  </si>
  <si>
    <t>{RU=G-FRMP}</t>
  </si>
  <si>
    <t>{OA=OA060}+{OA=OA061}+{OA=OA069}+{OA=OA060E}+{OA=OA060O}+{OA=OA061O}</t>
  </si>
  <si>
    <t>CENTRAL</t>
  </si>
  <si>
    <t>{OA=OA069}+{OA=OA005}</t>
  </si>
  <si>
    <t>{RU=G-FRMP}+{RU=P-FRMP}+{RU=G-REIMDE}+{RU=G-REIMI}</t>
  </si>
  <si>
    <t>{OA=OA060}+{OA=OA060E}+{OA=OA060O}+{OA=OA061}+{OA=OA061O}</t>
  </si>
  <si>
    <t>{OA=OA060}+{OA=OA061}+{OA=OA060E}+{OA=OA061O}</t>
  </si>
  <si>
    <t>{RU=G-DE}+{RU=P-DE}+{RU=G-REIMDE}+{RU=G-REIMI}</t>
  </si>
  <si>
    <t>{OA=OA061}</t>
  </si>
  <si>
    <t>RU=G-REIMLUX</t>
  </si>
  <si>
    <t>o/w Branch</t>
  </si>
  <si>
    <t>{OA=OA060}+{OA=OA060E}+{OA=OA060O}</t>
  </si>
  <si>
    <t>o/w REIM Italy</t>
  </si>
  <si>
    <t>o/w Italy</t>
  </si>
  <si>
    <t>{OA=OA060}+{OA=OA061}+{OA=OA060E}+{OA=OA060O}</t>
  </si>
  <si>
    <t>{RU=G-UK}+{RU=P-UK}+{RU=G-REIMI}</t>
  </si>
  <si>
    <t>{RU=G-UK}+{RU=P-UK}</t>
  </si>
  <si>
    <t>{RU=G-BE}+{RU=P-BE}</t>
  </si>
  <si>
    <t>BEL</t>
  </si>
  <si>
    <t>{RU=G-REIMSP}+{RU=G-SP}</t>
  </si>
  <si>
    <t>Advisory</t>
  </si>
  <si>
    <t>OA sum AR0121</t>
  </si>
  <si>
    <t>{OA=OA005O}+{OA=OA006}+{OA=OA010}+{OA=OA011}+{OA=OA017}+{OA=OA021}+{OA=OA021O}+{OA=OA023}+{OA=OA024}</t>
  </si>
  <si>
    <t>{RU=G-UK}+{RU=P-UK}+{RU=G-UKSP}</t>
  </si>
  <si>
    <t>{OA=OA005O}+{OA=OA017}+{OA=OA021O}+{OA=OA024}</t>
  </si>
  <si>
    <t>{RU=G-UK}+{RU=P-UK}+{RU=G-UKSP}+{RU=G-UKPROMO}</t>
  </si>
  <si>
    <t>UK S&amp;P</t>
  </si>
  <si>
    <t>o/w UK S&amp;P</t>
  </si>
  <si>
    <t>{OA=OA006}+{OA=OA010}+{OA=OA011}+{OA=OA021}+{OA=OA023}</t>
  </si>
  <si>
    <t>o/w UK Commercial</t>
  </si>
  <si>
    <t>o/w UK (GBP)</t>
  </si>
  <si>
    <t>o/w UK S&amp;P (GBP)</t>
  </si>
  <si>
    <t>o/w UK Commercial (GBP)</t>
  </si>
  <si>
    <t>{RU=G-FRAR}+{RU=P-FRAR}+{RU=G-FRMP}+{RU=P-FRMP}</t>
  </si>
  <si>
    <t>{OA=OA016}+{OA=OA017}</t>
  </si>
  <si>
    <t>{OA=OA020O}</t>
  </si>
  <si>
    <t>{RU=G-FRAR}+{RU=P-FRAR}</t>
  </si>
  <si>
    <t>{RU=G-DE}+{RU=P-DE}</t>
  </si>
  <si>
    <t>RU=G-IR</t>
  </si>
  <si>
    <t>IRL</t>
  </si>
  <si>
    <t>{RU=G-POL}+{RU=P-POL}</t>
  </si>
  <si>
    <t>POL</t>
  </si>
  <si>
    <t>RU=G-NL</t>
  </si>
  <si>
    <t>NL</t>
  </si>
  <si>
    <t>{OA=OA019O}+{OA=OA011}</t>
  </si>
  <si>
    <t>{RU=G-HDBNPPI}+{RU=P-HDBNPPI}</t>
  </si>
  <si>
    <t>{OA=OA070O}+{OA=OA071O}+{OA=OA073O}+{OA=OA072O}</t>
  </si>
  <si>
    <t>Property Management</t>
  </si>
  <si>
    <t>{OA=OA030}+{OA=OA031}+{OA=OA030E}+{OA=OA030O}</t>
  </si>
  <si>
    <t>{OA=OA031}+{OA=OA031O}</t>
  </si>
  <si>
    <t>{OA=OA030}+{OA=OA030E}+{OA=OA030O}</t>
  </si>
  <si>
    <t>{RU=G-DE}+{RU=P-DE}+{RU=P-IMOPLAN}</t>
  </si>
  <si>
    <t>{OA=OA020}+{OA=OA022}+{OA=OA030}+{OA=OA030O}+{OA=OA071O}</t>
  </si>
  <si>
    <t>OA sum AR001</t>
  </si>
  <si>
    <t>{RU=G-ASIEPF}</t>
  </si>
  <si>
    <t>PF</t>
  </si>
  <si>
    <t>{RU=G-MEPF}</t>
  </si>
  <si>
    <t>{RU=G-SGP}</t>
  </si>
  <si>
    <t>{OA=OA006}</t>
  </si>
  <si>
    <t>Holding RE</t>
  </si>
  <si>
    <t>{OA=OA005}+{OA=OA005O}</t>
  </si>
  <si>
    <t>Holding BNPPRE</t>
  </si>
  <si>
    <t>BCE</t>
  </si>
  <si>
    <t>OA=OA005</t>
  </si>
  <si>
    <t>{OA=OA010O}</t>
  </si>
  <si>
    <t>Advisory Residential Sales</t>
  </si>
  <si>
    <t>{OA=OA005}+{OA=OA005O}+{OA=OA006}</t>
  </si>
  <si>
    <t>RU=G-CENTRAL</t>
  </si>
  <si>
    <t>G-central HD</t>
  </si>
  <si>
    <t>{RU=GT-BALE2}+{RU=GT-TUT}+{RU=G-ITBNL}+{RU=GT-BCESTE}</t>
  </si>
  <si>
    <t>GROUPE</t>
  </si>
  <si>
    <t xml:space="preserve">Total </t>
  </si>
  <si>
    <t>RU sum AF001</t>
  </si>
  <si>
    <t>Total Périmètre courant</t>
  </si>
  <si>
    <t>Ctrl</t>
  </si>
  <si>
    <t>{RU=GT-TUT}+{RU=GT-BCESTE}</t>
  </si>
  <si>
    <t>Coûts Groupe</t>
  </si>
  <si>
    <t>Arbitrages</t>
  </si>
  <si>
    <t>Résultats par pays</t>
  </si>
  <si>
    <t>Plateformes</t>
  </si>
  <si>
    <t>BCESTE</t>
  </si>
  <si>
    <t>G-Central</t>
  </si>
  <si>
    <t>Total après arbitrages</t>
  </si>
  <si>
    <t>Total opérationnel</t>
  </si>
  <si>
    <t xml:space="preserve">Total opérationnel hors UK </t>
  </si>
  <si>
    <t>{OA=OA010}+{OA=OA010O}+{OA=OA011}+{OA=OA011E}+{OA=OA011O}+{OA=OA015}+{OA=OA016}+{OA=OA017}+{OA=OA019O}+{OA=OA020}+{OA=OA020E}+{OA=OA020O}+{OA=OA021}+{OA=OA021E}+{OA=OA021O}+{OA=OA022}+{OA=OA023}+{OA=OA024}+{OA=OA030}+{OA=OA030E}+{OA=OA030O}+{OA=OA031}+{OA=OA031O}+{OA=OA070O}+{OA=OA071O}+{OA=OA072O}+{OA=OA073O}</t>
  </si>
  <si>
    <t>{RU=G-ABER}+{RU=G-UK}+{RU=G-UKSP}+{RU=P-UK}</t>
  </si>
  <si>
    <t>UK hors Promotion hors IM</t>
  </si>
  <si>
    <t>Autres élements</t>
  </si>
  <si>
    <t>Central non affecté</t>
  </si>
  <si>
    <t>TRAC</t>
  </si>
  <si>
    <t>Total w/o TRAC</t>
  </si>
  <si>
    <t>AU sum GEST00</t>
  </si>
  <si>
    <t>VA=RECOMPO</t>
  </si>
  <si>
    <t>Net Banking Income +
Result of Co-Dev JVs</t>
  </si>
  <si>
    <t xml:space="preserve">General Operating Expenses </t>
  </si>
  <si>
    <t>Pre-Tax Income</t>
  </si>
  <si>
    <t xml:space="preserve">Variances excl. Management Fees and equivalent </t>
  </si>
  <si>
    <t>o/w France</t>
  </si>
  <si>
    <t>o/w Spain</t>
  </si>
  <si>
    <t>o/w Germany</t>
  </si>
  <si>
    <t>o/w Portugal</t>
  </si>
  <si>
    <t>o/w UK</t>
  </si>
  <si>
    <t>o/w Luxembourg</t>
  </si>
  <si>
    <t>o/w International Teams</t>
  </si>
  <si>
    <t xml:space="preserve">o/w Coordination Team </t>
  </si>
  <si>
    <t>o/w Belgium</t>
  </si>
  <si>
    <t>o/w residential</t>
  </si>
  <si>
    <t>o/w Tracker</t>
  </si>
  <si>
    <t>o/w Advisory 7</t>
  </si>
  <si>
    <t>o/w Ireland</t>
  </si>
  <si>
    <t>o/w Poland</t>
  </si>
  <si>
    <t>o/w Netherlands</t>
  </si>
  <si>
    <t>o/w Holding BNPP RE</t>
  </si>
  <si>
    <t>o/w Holding PM (incl. PDI)</t>
  </si>
  <si>
    <t>Platforms</t>
  </si>
  <si>
    <t>o/w Asia</t>
  </si>
  <si>
    <t>o/w Middle East</t>
  </si>
  <si>
    <t>o/w Singapore</t>
  </si>
  <si>
    <t>Internal SLA Reinvoicings</t>
  </si>
  <si>
    <t>Reprocessing accounting carto BCESTE</t>
  </si>
  <si>
    <t>Holding Italy</t>
  </si>
  <si>
    <t>La dimension AC (Rubrique) doit être initialisée</t>
  </si>
  <si>
    <t>Group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</si>
</sst>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#,##0.00\ &quot;€&quot;"/>
    <numFmt numFmtId="165" formatCode="_-* #,##0.00\ _€_-;\-* #,##0.00\ _€_-;_-* &quot;-&quot;??\ _€_-;_-@_-"/>
    <numFmt numFmtId="168" formatCode="#,##0_);\(#,##0\);&quot; - &quot;_);@_)"/>
    <numFmt numFmtId="169" formatCode="0.0"/>
    <numFmt numFmtId="170" formatCode="0.0,;\-\ 0.0,;&quot;-&quot;"/>
    <numFmt numFmtId="171" formatCode="0.0_ ;\-0.0\ "/>
    <numFmt numFmtId="172" formatCode="0.00,;\-\ 0.00,;&quot;-&quot;"/>
    <numFmt numFmtId="173" formatCode="#,##0.000,"/>
    <numFmt numFmtId="174" formatCode="_-* #,##0\ _€_-;\-* #,##0\ _€_-;_-* &quot;-&quot;??\ _€_-;_-@_-"/>
    <numFmt numFmtId="175" formatCode="0.0000,;\-\ 0.0000,;&quot;-&quot;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8"/>
      <color theme="1"/>
      <name val="Arial"/>
      <family val="2"/>
    </font>
    <font>
      <sz val="9"/>
      <color theme="1"/>
      <name val="Calibri"/>
      <family val="2"/>
      <scheme val="minor"/>
    </font>
    <font>
      <b/>
      <sz val="8"/>
      <color theme="0"/>
      <name val="Arial"/>
      <family val="2"/>
    </font>
    <font>
      <sz val="10"/>
      <name val="Arial"/>
      <family val="2"/>
    </font>
    <font>
      <sz val="8"/>
      <color theme="0"/>
      <name val="Arial"/>
      <family val="2"/>
    </font>
    <font>
      <sz val="8"/>
      <name val="Arial"/>
      <family val="2"/>
    </font>
    <font>
      <sz val="8"/>
      <color theme="0" tint="-0.499984740745262"/>
      <name val="Arial"/>
      <family val="2"/>
    </font>
    <font>
      <sz val="11"/>
      <name val="Arial"/>
      <family val="2"/>
    </font>
    <font>
      <sz val="9.5"/>
      <name val="Arial"/>
      <family val="2"/>
    </font>
    <font>
      <b/>
      <sz val="11"/>
      <color rgb="FFFFC000"/>
      <name val="Arial"/>
      <family val="2"/>
    </font>
    <font>
      <b/>
      <sz val="12"/>
      <color indexed="9"/>
      <name val="Arial"/>
      <family val="2"/>
    </font>
    <font>
      <b/>
      <sz val="11"/>
      <color indexed="10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0"/>
      <color rgb="FFE5007D"/>
      <name val="Arial"/>
      <family val="2"/>
    </font>
    <font>
      <sz val="11"/>
      <color rgb="FFE5007D"/>
      <name val="Arial"/>
      <family val="2"/>
    </font>
    <font>
      <b/>
      <sz val="11"/>
      <color rgb="FFE5007D"/>
      <name val="Arial"/>
      <family val="2"/>
    </font>
    <font>
      <b/>
      <sz val="11"/>
      <color indexed="20"/>
      <name val="Arial"/>
      <family val="2"/>
    </font>
    <font>
      <i/>
      <sz val="10"/>
      <color rgb="FFF19005"/>
      <name val="Arial"/>
      <family val="2"/>
    </font>
    <font>
      <i/>
      <sz val="11"/>
      <color rgb="FFF19005"/>
      <name val="Arial"/>
      <family val="2"/>
    </font>
    <font>
      <sz val="11"/>
      <color rgb="FFF19005"/>
      <name val="Arial"/>
      <family val="2"/>
    </font>
    <font>
      <sz val="10"/>
      <color indexed="2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9" tint="-0.249977111117893"/>
      <name val="Arial"/>
      <family val="2"/>
    </font>
    <font>
      <sz val="10"/>
      <color theme="9" tint="-0.249977111117893"/>
      <name val="Italique"/>
    </font>
    <font>
      <sz val="10"/>
      <color theme="9" tint="-0.249977111117893"/>
      <name val="Arial"/>
      <family val="2"/>
    </font>
    <font>
      <i/>
      <sz val="10"/>
      <name val="Arial"/>
      <family val="2"/>
    </font>
    <font>
      <sz val="10"/>
      <color theme="0"/>
      <name val="Arial"/>
      <family val="2"/>
    </font>
    <font>
      <sz val="11"/>
      <color theme="0"/>
      <name val="Arial"/>
      <family val="2"/>
    </font>
    <font>
      <b/>
      <sz val="11"/>
      <color indexed="48"/>
      <name val="Arial"/>
      <family val="2"/>
    </font>
    <font>
      <sz val="11"/>
      <color indexed="48"/>
      <name val="Arial"/>
      <family val="2"/>
    </font>
    <font>
      <i/>
      <sz val="11"/>
      <color theme="6" tint="0.79998168889431442"/>
      <name val="Arial"/>
      <family val="2"/>
    </font>
    <font>
      <b/>
      <i/>
      <sz val="11"/>
      <color theme="0"/>
      <name val="Arial"/>
      <family val="2"/>
    </font>
    <font>
      <sz val="11"/>
      <color indexed="20"/>
      <name val="Arial"/>
      <family val="2"/>
    </font>
    <font>
      <i/>
      <sz val="11"/>
      <color indexed="10"/>
      <name val="Arial"/>
      <family val="2"/>
    </font>
    <font>
      <i/>
      <sz val="8"/>
      <color indexed="10"/>
      <name val="Arial"/>
      <family val="2"/>
    </font>
    <font>
      <b/>
      <sz val="12"/>
      <name val="Arial"/>
      <family val="2"/>
    </font>
    <font>
      <sz val="12"/>
      <color rgb="FFE5007D"/>
      <name val="Arial"/>
      <family val="2"/>
    </font>
    <font>
      <b/>
      <sz val="11"/>
      <color theme="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1A9E57"/>
        <bgColor indexed="64"/>
      </patternFill>
    </fill>
    <fill>
      <patternFill patternType="solid">
        <fgColor rgb="FF70BB47"/>
        <bgColor indexed="64"/>
      </patternFill>
    </fill>
    <fill>
      <patternFill patternType="solid">
        <fgColor rgb="FF70A147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7BF0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7D7A6F"/>
        <bgColor indexed="64"/>
      </patternFill>
    </fill>
    <fill>
      <patternFill patternType="solid">
        <fgColor rgb="FFEBFAB4"/>
        <bgColor indexed="64"/>
      </patternFill>
    </fill>
    <fill>
      <patternFill patternType="solid">
        <fgColor rgb="FFE8E7E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</fills>
  <borders count="5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22"/>
      </bottom>
      <diagonal/>
    </border>
    <border>
      <left style="thin">
        <color indexed="64"/>
      </left>
      <right style="medium">
        <color indexed="64"/>
      </right>
      <top style="dashed">
        <color indexed="22"/>
      </top>
      <bottom style="dashed">
        <color indexed="22"/>
      </bottom>
      <diagonal/>
    </border>
    <border>
      <left style="thin">
        <color indexed="64"/>
      </left>
      <right/>
      <top style="dashed">
        <color indexed="22"/>
      </top>
      <bottom style="dashed">
        <color indexed="22"/>
      </bottom>
      <diagonal/>
    </border>
    <border>
      <left style="medium">
        <color indexed="64"/>
      </left>
      <right style="thin">
        <color indexed="64"/>
      </right>
      <top style="dashed">
        <color indexed="22"/>
      </top>
      <bottom style="dashed">
        <color indexed="22"/>
      </bottom>
      <diagonal/>
    </border>
    <border>
      <left style="thin">
        <color indexed="64"/>
      </left>
      <right style="thin">
        <color indexed="64"/>
      </right>
      <top style="dashed">
        <color indexed="22"/>
      </top>
      <bottom style="dashed">
        <color indexed="22"/>
      </bottom>
      <diagonal/>
    </border>
    <border>
      <left style="thin">
        <color indexed="64"/>
      </left>
      <right/>
      <top style="dashed">
        <color indexed="22"/>
      </top>
      <bottom/>
      <diagonal/>
    </border>
    <border>
      <left style="thin">
        <color indexed="64"/>
      </left>
      <right/>
      <top/>
      <bottom style="dashed">
        <color indexed="22"/>
      </bottom>
      <diagonal/>
    </border>
    <border>
      <left style="thin">
        <color indexed="64"/>
      </left>
      <right style="medium">
        <color indexed="64"/>
      </right>
      <top/>
      <bottom style="dashed">
        <color indexed="22"/>
      </bottom>
      <diagonal/>
    </border>
    <border>
      <left style="thin">
        <color indexed="64"/>
      </left>
      <right style="medium">
        <color indexed="64"/>
      </right>
      <top style="dashed">
        <color indexed="22"/>
      </top>
      <bottom/>
      <diagonal/>
    </border>
    <border>
      <left style="thin">
        <color indexed="64"/>
      </left>
      <right style="medium">
        <color indexed="64"/>
      </right>
      <top style="dashed">
        <color indexed="22"/>
      </top>
      <bottom style="dashed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dashed">
        <color indexed="22"/>
      </top>
      <bottom/>
      <diagonal/>
    </border>
    <border>
      <left style="thin">
        <color indexed="64"/>
      </left>
      <right style="thin">
        <color indexed="64"/>
      </right>
      <top style="dashed">
        <color indexed="2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2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2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2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22"/>
      </bottom>
      <diagonal/>
    </border>
    <border>
      <left style="medium">
        <color indexed="64"/>
      </left>
      <right/>
      <top style="dashed">
        <color indexed="22"/>
      </top>
      <bottom style="dashed">
        <color indexed="22"/>
      </bottom>
      <diagonal/>
    </border>
    <border>
      <left style="medium">
        <color indexed="64"/>
      </left>
      <right/>
      <top style="dashed">
        <color indexed="2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2" fillId="0" borderId="0"/>
    <xf numFmtId="0" fontId="3" fillId="0" borderId="0"/>
    <xf numFmtId="0" fontId="4" fillId="3" borderId="0" applyNumberFormat="0" applyFill="0" applyBorder="0" applyAlignment="0" applyProtection="0">
      <alignment horizontal="center" wrapText="1"/>
    </xf>
    <xf numFmtId="43" fontId="1" fillId="0" borderId="0" applyFont="0" applyFill="0" applyBorder="0" applyAlignment="0" applyProtection="0"/>
    <xf numFmtId="0" fontId="5" fillId="3" borderId="0" applyNumberFormat="0" applyFill="0" applyBorder="0" applyAlignment="0" applyProtection="0">
      <alignment horizontal="center" vertical="center" wrapText="1"/>
    </xf>
    <xf numFmtId="0" fontId="1" fillId="4" borderId="0" applyNumberFormat="0" applyFont="0" applyBorder="0" applyAlignment="0" applyProtection="0">
      <alignment horizontal="center" wrapText="1"/>
    </xf>
    <xf numFmtId="0" fontId="1" fillId="5" borderId="0" applyNumberFormat="0" applyFont="0" applyBorder="0" applyAlignment="0" applyProtection="0">
      <alignment horizontal="center" wrapText="1"/>
    </xf>
    <xf numFmtId="0" fontId="1" fillId="6" borderId="0" applyNumberFormat="0" applyFont="0" applyBorder="0" applyAlignment="0" applyProtection="0">
      <alignment horizontal="center" wrapText="1"/>
    </xf>
    <xf numFmtId="0" fontId="1" fillId="7" borderId="0" applyNumberFormat="0" applyFont="0" applyBorder="0" applyAlignment="0" applyProtection="0">
      <alignment horizontal="center" wrapText="1"/>
    </xf>
    <xf numFmtId="0" fontId="1" fillId="8" borderId="0" applyNumberFormat="0" applyFont="0" applyBorder="0" applyAlignment="0" applyProtection="0">
      <alignment horizontal="center" wrapText="1"/>
    </xf>
    <xf numFmtId="0" fontId="1" fillId="9" borderId="0" applyNumberFormat="0" applyFont="0" applyBorder="0" applyAlignment="0" applyProtection="0">
      <alignment horizontal="center" wrapText="1"/>
    </xf>
    <xf numFmtId="0" fontId="1" fillId="10" borderId="0" applyNumberFormat="0" applyFont="0" applyBorder="0" applyAlignment="0" applyProtection="0">
      <alignment horizontal="center" wrapText="1"/>
    </xf>
    <xf numFmtId="0" fontId="1" fillId="11" borderId="0" applyNumberFormat="0" applyFont="0" applyBorder="0" applyAlignment="0" applyProtection="0">
      <alignment horizontal="center" wrapText="1"/>
    </xf>
    <xf numFmtId="164" fontId="1" fillId="3" borderId="0" applyNumberFormat="0" applyFont="0" applyFill="0" applyBorder="0" applyProtection="0">
      <alignment horizontal="left" vertical="center"/>
    </xf>
    <xf numFmtId="0" fontId="1" fillId="3" borderId="0" applyNumberFormat="0" applyFont="0" applyFill="0" applyBorder="0" applyProtection="0">
      <alignment vertical="center" wrapText="1"/>
    </xf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3" fillId="0" borderId="0"/>
  </cellStyleXfs>
  <cellXfs count="276">
    <xf numFmtId="0" fontId="0" fillId="0" borderId="0" xfId="0"/>
    <xf numFmtId="0" fontId="7" fillId="12" borderId="2" xfId="20" applyFont="1" applyFill="1" applyBorder="1" applyAlignment="1">
      <alignment horizontal="center"/>
    </xf>
    <xf numFmtId="0" fontId="7" fillId="12" borderId="2" xfId="20" applyFont="1" applyFill="1" applyBorder="1" applyAlignment="1">
      <alignment horizontal="left"/>
    </xf>
    <xf numFmtId="0" fontId="3" fillId="0" borderId="0" xfId="2"/>
    <xf numFmtId="0" fontId="8" fillId="13" borderId="1" xfId="20" applyFont="1" applyFill="1" applyBorder="1" applyAlignment="1">
      <alignment horizontal="center" vertical="center"/>
    </xf>
    <xf numFmtId="0" fontId="3" fillId="13" borderId="1" xfId="2" applyFill="1" applyBorder="1" applyAlignment="1">
      <alignment horizontal="left"/>
    </xf>
    <xf numFmtId="0" fontId="8" fillId="13" borderId="1" xfId="20" applyFont="1" applyFill="1" applyBorder="1" applyAlignment="1">
      <alignment horizontal="center"/>
    </xf>
    <xf numFmtId="0" fontId="9" fillId="13" borderId="1" xfId="20" applyFont="1" applyFill="1" applyBorder="1" applyAlignment="1">
      <alignment horizontal="center"/>
    </xf>
    <xf numFmtId="0" fontId="9" fillId="13" borderId="1" xfId="20" applyFont="1" applyFill="1" applyBorder="1" applyAlignment="1">
      <alignment horizontal="left"/>
    </xf>
    <xf numFmtId="0" fontId="8" fillId="0" borderId="0" xfId="2" applyFont="1"/>
    <xf numFmtId="0" fontId="3" fillId="0" borderId="0" xfId="2" applyAlignment="1">
      <alignment horizontal="left"/>
    </xf>
    <xf numFmtId="168" fontId="3" fillId="13" borderId="1" xfId="20" applyNumberFormat="1" applyFill="1" applyBorder="1" applyAlignment="1">
      <alignment vertical="center"/>
    </xf>
    <xf numFmtId="168" fontId="3" fillId="13" borderId="1" xfId="20" applyNumberFormat="1" applyFill="1" applyBorder="1" applyAlignment="1">
      <alignment horizontal="center" vertical="center"/>
    </xf>
    <xf numFmtId="0" fontId="3" fillId="13" borderId="1" xfId="2" applyFill="1" applyBorder="1"/>
    <xf numFmtId="0" fontId="3" fillId="13" borderId="1" xfId="20" applyFill="1" applyBorder="1"/>
    <xf numFmtId="0" fontId="3" fillId="13" borderId="1" xfId="20" applyFill="1" applyBorder="1" applyAlignment="1">
      <alignment horizontal="center" vertical="center"/>
    </xf>
    <xf numFmtId="0" fontId="6" fillId="0" borderId="0" xfId="17"/>
    <xf numFmtId="0" fontId="10" fillId="0" borderId="0" xfId="17" applyFont="1"/>
    <xf numFmtId="0" fontId="11" fillId="0" borderId="0" xfId="17" applyFont="1"/>
    <xf numFmtId="0" fontId="11" fillId="14" borderId="0" xfId="17" applyFont="1" applyFill="1"/>
    <xf numFmtId="0" fontId="6" fillId="0" borderId="0" xfId="17" applyAlignment="1">
      <alignment horizontal="center" vertical="center"/>
    </xf>
    <xf numFmtId="0" fontId="11" fillId="0" borderId="0" xfId="17" applyFont="1" applyAlignment="1">
      <alignment horizontal="center" vertical="center"/>
    </xf>
    <xf numFmtId="0" fontId="11" fillId="14" borderId="0" xfId="17" applyFont="1" applyFill="1" applyAlignment="1">
      <alignment horizontal="center" vertical="center"/>
    </xf>
    <xf numFmtId="4" fontId="6" fillId="0" borderId="0" xfId="17" applyNumberFormat="1" applyAlignment="1">
      <alignment horizontal="center" vertical="center"/>
    </xf>
    <xf numFmtId="0" fontId="12" fillId="0" borderId="0" xfId="17" applyFont="1" applyAlignment="1">
      <alignment horizontal="center" vertical="center" wrapText="1"/>
    </xf>
    <xf numFmtId="0" fontId="6" fillId="0" borderId="0" xfId="17" applyAlignment="1">
      <alignment vertical="center" wrapText="1"/>
    </xf>
    <xf numFmtId="0" fontId="13" fillId="14" borderId="0" xfId="17" applyFont="1" applyFill="1" applyAlignment="1">
      <alignment horizontal="center" vertical="center" wrapText="1"/>
    </xf>
    <xf numFmtId="0" fontId="13" fillId="0" borderId="0" xfId="17" applyFont="1" applyAlignment="1">
      <alignment vertical="center" wrapText="1"/>
    </xf>
    <xf numFmtId="0" fontId="13" fillId="15" borderId="0" xfId="17" applyFont="1" applyFill="1" applyAlignment="1">
      <alignment vertical="center" wrapText="1"/>
    </xf>
    <xf numFmtId="0" fontId="14" fillId="0" borderId="0" xfId="17" applyFont="1"/>
    <xf numFmtId="0" fontId="6" fillId="14" borderId="0" xfId="17" applyFill="1"/>
    <xf numFmtId="0" fontId="14" fillId="0" borderId="0" xfId="17" applyFont="1" applyAlignment="1">
      <alignment wrapText="1"/>
    </xf>
    <xf numFmtId="0" fontId="15" fillId="18" borderId="0" xfId="17" applyFont="1" applyFill="1" applyAlignment="1">
      <alignment horizontal="center" vertical="center"/>
    </xf>
    <xf numFmtId="0" fontId="15" fillId="0" borderId="0" xfId="17" applyFont="1" applyAlignment="1">
      <alignment horizontal="center" vertical="center"/>
    </xf>
    <xf numFmtId="0" fontId="17" fillId="0" borderId="5" xfId="17" applyFont="1" applyBorder="1" applyAlignment="1">
      <alignment vertical="center" wrapText="1"/>
    </xf>
    <xf numFmtId="0" fontId="17" fillId="0" borderId="0" xfId="17" applyFont="1" applyAlignment="1">
      <alignment vertical="center" wrapText="1"/>
    </xf>
    <xf numFmtId="0" fontId="17" fillId="0" borderId="5" xfId="17" applyFont="1" applyBorder="1"/>
    <xf numFmtId="0" fontId="17" fillId="14" borderId="0" xfId="17" applyFont="1" applyFill="1"/>
    <xf numFmtId="0" fontId="17" fillId="0" borderId="0" xfId="17" applyFont="1"/>
    <xf numFmtId="169" fontId="18" fillId="0" borderId="12" xfId="17" applyNumberFormat="1" applyFont="1" applyBorder="1" applyAlignment="1">
      <alignment horizontal="center"/>
    </xf>
    <xf numFmtId="169" fontId="18" fillId="0" borderId="0" xfId="17" applyNumberFormat="1" applyFont="1" applyAlignment="1">
      <alignment horizontal="center"/>
    </xf>
    <xf numFmtId="169" fontId="18" fillId="0" borderId="13" xfId="17" applyNumberFormat="1" applyFont="1" applyBorder="1" applyAlignment="1">
      <alignment horizontal="center"/>
    </xf>
    <xf numFmtId="0" fontId="10" fillId="0" borderId="0" xfId="17" applyFont="1" applyAlignment="1">
      <alignment vertical="center" wrapText="1"/>
    </xf>
    <xf numFmtId="0" fontId="10" fillId="14" borderId="0" xfId="17" applyFont="1" applyFill="1"/>
    <xf numFmtId="0" fontId="18" fillId="0" borderId="0" xfId="17" applyFont="1" applyAlignment="1">
      <alignment vertical="center"/>
    </xf>
    <xf numFmtId="0" fontId="18" fillId="0" borderId="14" xfId="17" applyFont="1" applyBorder="1" applyAlignment="1">
      <alignment vertical="center"/>
    </xf>
    <xf numFmtId="170" fontId="18" fillId="19" borderId="15" xfId="17" applyNumberFormat="1" applyFont="1" applyFill="1" applyBorder="1" applyAlignment="1">
      <alignment horizontal="center" vertical="center"/>
    </xf>
    <xf numFmtId="170" fontId="18" fillId="0" borderId="0" xfId="17" applyNumberFormat="1" applyFont="1" applyAlignment="1">
      <alignment vertical="center"/>
    </xf>
    <xf numFmtId="170" fontId="18" fillId="19" borderId="16" xfId="17" applyNumberFormat="1" applyFont="1" applyFill="1" applyBorder="1" applyAlignment="1">
      <alignment horizontal="center" vertical="center"/>
    </xf>
    <xf numFmtId="170" fontId="18" fillId="20" borderId="17" xfId="17" applyNumberFormat="1" applyFont="1" applyFill="1" applyBorder="1" applyAlignment="1">
      <alignment horizontal="center" vertical="center"/>
    </xf>
    <xf numFmtId="9" fontId="10" fillId="0" borderId="0" xfId="18" applyFont="1" applyBorder="1" applyAlignment="1">
      <alignment vertical="center" wrapText="1"/>
    </xf>
    <xf numFmtId="170" fontId="10" fillId="0" borderId="0" xfId="17" applyNumberFormat="1" applyFont="1"/>
    <xf numFmtId="170" fontId="18" fillId="20" borderId="18" xfId="17" applyNumberFormat="1" applyFont="1" applyFill="1" applyBorder="1" applyAlignment="1">
      <alignment horizontal="center" vertical="center"/>
    </xf>
    <xf numFmtId="170" fontId="10" fillId="14" borderId="0" xfId="17" applyNumberFormat="1" applyFont="1" applyFill="1"/>
    <xf numFmtId="0" fontId="19" fillId="0" borderId="0" xfId="17" applyFont="1"/>
    <xf numFmtId="0" fontId="19" fillId="0" borderId="0" xfId="17" applyFont="1" applyAlignment="1">
      <alignment vertical="center"/>
    </xf>
    <xf numFmtId="0" fontId="20" fillId="0" borderId="19" xfId="17" applyFont="1" applyBorder="1" applyAlignment="1">
      <alignment horizontal="left" vertical="center" indent="3"/>
    </xf>
    <xf numFmtId="170" fontId="20" fillId="19" borderId="20" xfId="17" applyNumberFormat="1" applyFont="1" applyFill="1" applyBorder="1" applyAlignment="1">
      <alignment horizontal="center" vertical="center"/>
    </xf>
    <xf numFmtId="170" fontId="21" fillId="0" borderId="0" xfId="17" applyNumberFormat="1" applyFont="1" applyAlignment="1">
      <alignment vertical="center"/>
    </xf>
    <xf numFmtId="170" fontId="20" fillId="19" borderId="21" xfId="17" applyNumberFormat="1" applyFont="1" applyFill="1" applyBorder="1" applyAlignment="1">
      <alignment horizontal="center" vertical="center"/>
    </xf>
    <xf numFmtId="170" fontId="20" fillId="20" borderId="18" xfId="17" applyNumberFormat="1" applyFont="1" applyFill="1" applyBorder="1" applyAlignment="1">
      <alignment horizontal="center" vertical="center"/>
    </xf>
    <xf numFmtId="0" fontId="20" fillId="0" borderId="0" xfId="17" applyFont="1" applyAlignment="1">
      <alignment vertical="center" wrapText="1"/>
    </xf>
    <xf numFmtId="170" fontId="20" fillId="0" borderId="0" xfId="17" applyNumberFormat="1" applyFont="1"/>
    <xf numFmtId="170" fontId="20" fillId="14" borderId="0" xfId="17" applyNumberFormat="1" applyFont="1" applyFill="1"/>
    <xf numFmtId="0" fontId="22" fillId="0" borderId="0" xfId="17" applyFont="1" applyAlignment="1">
      <alignment vertical="center"/>
    </xf>
    <xf numFmtId="0" fontId="6" fillId="0" borderId="0" xfId="17" applyAlignment="1">
      <alignment vertical="center"/>
    </xf>
    <xf numFmtId="0" fontId="18" fillId="0" borderId="19" xfId="17" applyFont="1" applyBorder="1" applyAlignment="1">
      <alignment horizontal="left" vertical="center" indent="3"/>
    </xf>
    <xf numFmtId="170" fontId="10" fillId="19" borderId="20" xfId="17" applyNumberFormat="1" applyFont="1" applyFill="1" applyBorder="1" applyAlignment="1">
      <alignment horizontal="center" vertical="center"/>
    </xf>
    <xf numFmtId="170" fontId="10" fillId="0" borderId="0" xfId="17" applyNumberFormat="1" applyFont="1" applyAlignment="1">
      <alignment vertical="center"/>
    </xf>
    <xf numFmtId="170" fontId="10" fillId="19" borderId="21" xfId="17" applyNumberFormat="1" applyFont="1" applyFill="1" applyBorder="1" applyAlignment="1">
      <alignment horizontal="center" vertical="center"/>
    </xf>
    <xf numFmtId="170" fontId="10" fillId="20" borderId="18" xfId="17" applyNumberFormat="1" applyFont="1" applyFill="1" applyBorder="1" applyAlignment="1">
      <alignment horizontal="center" vertical="center"/>
    </xf>
    <xf numFmtId="0" fontId="10" fillId="0" borderId="0" xfId="17" applyFont="1" applyAlignment="1">
      <alignment vertical="center"/>
    </xf>
    <xf numFmtId="0" fontId="10" fillId="0" borderId="19" xfId="17" applyFont="1" applyBorder="1" applyAlignment="1">
      <alignment horizontal="left" vertical="center" indent="4"/>
    </xf>
    <xf numFmtId="0" fontId="10" fillId="0" borderId="19" xfId="17" applyFont="1" applyBorder="1" applyAlignment="1">
      <alignment horizontal="left" vertical="center" indent="5"/>
    </xf>
    <xf numFmtId="0" fontId="10" fillId="0" borderId="22" xfId="17" applyFont="1" applyBorder="1" applyAlignment="1">
      <alignment horizontal="left" vertical="center" indent="4"/>
    </xf>
    <xf numFmtId="0" fontId="23" fillId="0" borderId="0" xfId="17" applyFont="1" applyAlignment="1">
      <alignment vertical="center"/>
    </xf>
    <xf numFmtId="0" fontId="24" fillId="0" borderId="22" xfId="17" applyFont="1" applyBorder="1" applyAlignment="1">
      <alignment horizontal="left" vertical="center" indent="4"/>
    </xf>
    <xf numFmtId="170" fontId="24" fillId="19" borderId="20" xfId="17" applyNumberFormat="1" applyFont="1" applyFill="1" applyBorder="1" applyAlignment="1">
      <alignment horizontal="center" vertical="center"/>
    </xf>
    <xf numFmtId="170" fontId="24" fillId="0" borderId="0" xfId="17" applyNumberFormat="1" applyFont="1" applyAlignment="1">
      <alignment vertical="center"/>
    </xf>
    <xf numFmtId="170" fontId="24" fillId="19" borderId="21" xfId="17" applyNumberFormat="1" applyFont="1" applyFill="1" applyBorder="1" applyAlignment="1">
      <alignment horizontal="center" vertical="center"/>
    </xf>
    <xf numFmtId="170" fontId="24" fillId="20" borderId="18" xfId="17" applyNumberFormat="1" applyFont="1" applyFill="1" applyBorder="1" applyAlignment="1">
      <alignment horizontal="center" vertical="center"/>
    </xf>
    <xf numFmtId="0" fontId="24" fillId="0" borderId="0" xfId="17" applyFont="1" applyAlignment="1">
      <alignment vertical="center"/>
    </xf>
    <xf numFmtId="170" fontId="25" fillId="0" borderId="0" xfId="17" applyNumberFormat="1" applyFont="1"/>
    <xf numFmtId="170" fontId="25" fillId="14" borderId="0" xfId="17" applyNumberFormat="1" applyFont="1" applyFill="1"/>
    <xf numFmtId="0" fontId="26" fillId="0" borderId="0" xfId="17" applyFont="1"/>
    <xf numFmtId="0" fontId="26" fillId="0" borderId="0" xfId="17" applyFont="1" applyAlignment="1">
      <alignment vertical="center"/>
    </xf>
    <xf numFmtId="0" fontId="18" fillId="0" borderId="23" xfId="17" applyFont="1" applyBorder="1" applyAlignment="1">
      <alignment vertical="center"/>
    </xf>
    <xf numFmtId="170" fontId="18" fillId="19" borderId="20" xfId="17" applyNumberFormat="1" applyFont="1" applyFill="1" applyBorder="1" applyAlignment="1">
      <alignment horizontal="center" vertical="center"/>
    </xf>
    <xf numFmtId="170" fontId="18" fillId="19" borderId="21" xfId="17" applyNumberFormat="1" applyFont="1" applyFill="1" applyBorder="1" applyAlignment="1">
      <alignment horizontal="center" vertical="center"/>
    </xf>
    <xf numFmtId="170" fontId="18" fillId="20" borderId="24" xfId="17" applyNumberFormat="1" applyFont="1" applyFill="1" applyBorder="1" applyAlignment="1">
      <alignment horizontal="center" vertical="center"/>
    </xf>
    <xf numFmtId="170" fontId="10" fillId="20" borderId="24" xfId="17" applyNumberFormat="1" applyFont="1" applyFill="1" applyBorder="1" applyAlignment="1">
      <alignment horizontal="center" vertical="center"/>
    </xf>
    <xf numFmtId="0" fontId="21" fillId="0" borderId="0" xfId="17" applyFont="1" applyAlignment="1">
      <alignment vertical="center"/>
    </xf>
    <xf numFmtId="0" fontId="10" fillId="0" borderId="22" xfId="17" applyFont="1" applyBorder="1" applyAlignment="1">
      <alignment horizontal="left" vertical="center" indent="3"/>
    </xf>
    <xf numFmtId="170" fontId="10" fillId="14" borderId="0" xfId="17" applyNumberFormat="1" applyFont="1" applyFill="1" applyAlignment="1">
      <alignment vertical="center"/>
    </xf>
    <xf numFmtId="170" fontId="10" fillId="20" borderId="25" xfId="17" applyNumberFormat="1" applyFont="1" applyFill="1" applyBorder="1" applyAlignment="1">
      <alignment horizontal="center" vertical="center"/>
    </xf>
    <xf numFmtId="0" fontId="24" fillId="0" borderId="22" xfId="17" applyFont="1" applyBorder="1" applyAlignment="1">
      <alignment horizontal="left" vertical="center" indent="3"/>
    </xf>
    <xf numFmtId="170" fontId="27" fillId="20" borderId="18" xfId="17" applyNumberFormat="1" applyFont="1" applyFill="1" applyBorder="1" applyAlignment="1">
      <alignment horizontal="center" vertical="center"/>
    </xf>
    <xf numFmtId="0" fontId="10" fillId="0" borderId="19" xfId="17" applyFont="1" applyBorder="1" applyAlignment="1">
      <alignment horizontal="left" vertical="center" indent="3"/>
    </xf>
    <xf numFmtId="170" fontId="18" fillId="14" borderId="0" xfId="17" applyNumberFormat="1" applyFont="1" applyFill="1" applyAlignment="1">
      <alignment vertical="center"/>
    </xf>
    <xf numFmtId="170" fontId="18" fillId="20" borderId="25" xfId="17" applyNumberFormat="1" applyFont="1" applyFill="1" applyBorder="1" applyAlignment="1">
      <alignment horizontal="center" vertical="center"/>
    </xf>
    <xf numFmtId="0" fontId="18" fillId="14" borderId="0" xfId="17" applyFont="1" applyFill="1" applyAlignment="1">
      <alignment vertical="center"/>
    </xf>
    <xf numFmtId="171" fontId="6" fillId="0" borderId="0" xfId="17" applyNumberFormat="1" applyAlignment="1">
      <alignment vertical="center" wrapText="1"/>
    </xf>
    <xf numFmtId="170" fontId="21" fillId="14" borderId="0" xfId="17" applyNumberFormat="1" applyFont="1" applyFill="1" applyAlignment="1">
      <alignment vertical="center"/>
    </xf>
    <xf numFmtId="0" fontId="10" fillId="14" borderId="0" xfId="17" applyFont="1" applyFill="1" applyAlignment="1">
      <alignment vertical="center"/>
    </xf>
    <xf numFmtId="170" fontId="28" fillId="19" borderId="20" xfId="17" applyNumberFormat="1" applyFont="1" applyFill="1" applyBorder="1" applyAlignment="1">
      <alignment horizontal="center" vertical="center"/>
    </xf>
    <xf numFmtId="170" fontId="28" fillId="14" borderId="0" xfId="17" applyNumberFormat="1" applyFont="1" applyFill="1" applyAlignment="1">
      <alignment vertical="center"/>
    </xf>
    <xf numFmtId="170" fontId="28" fillId="19" borderId="21" xfId="17" applyNumberFormat="1" applyFont="1" applyFill="1" applyBorder="1" applyAlignment="1">
      <alignment horizontal="center" vertical="center"/>
    </xf>
    <xf numFmtId="170" fontId="24" fillId="14" borderId="0" xfId="17" applyNumberFormat="1" applyFont="1" applyFill="1" applyAlignment="1">
      <alignment vertical="center"/>
    </xf>
    <xf numFmtId="0" fontId="24" fillId="14" borderId="0" xfId="17" applyFont="1" applyFill="1" applyAlignment="1">
      <alignment vertical="center"/>
    </xf>
    <xf numFmtId="170" fontId="28" fillId="0" borderId="0" xfId="17" applyNumberFormat="1" applyFont="1" applyAlignment="1">
      <alignment vertical="center"/>
    </xf>
    <xf numFmtId="170" fontId="28" fillId="20" borderId="18" xfId="17" applyNumberFormat="1" applyFont="1" applyFill="1" applyBorder="1" applyAlignment="1">
      <alignment horizontal="center" vertical="center"/>
    </xf>
    <xf numFmtId="170" fontId="29" fillId="0" borderId="0" xfId="17" applyNumberFormat="1" applyFont="1"/>
    <xf numFmtId="0" fontId="30" fillId="0" borderId="22" xfId="17" applyFont="1" applyBorder="1" applyAlignment="1">
      <alignment horizontal="left" vertical="center" indent="3"/>
    </xf>
    <xf numFmtId="170" fontId="25" fillId="19" borderId="20" xfId="17" applyNumberFormat="1" applyFont="1" applyFill="1" applyBorder="1" applyAlignment="1">
      <alignment horizontal="center" vertical="center"/>
    </xf>
    <xf numFmtId="170" fontId="29" fillId="14" borderId="0" xfId="17" applyNumberFormat="1" applyFont="1" applyFill="1" applyAlignment="1">
      <alignment vertical="center"/>
    </xf>
    <xf numFmtId="170" fontId="25" fillId="14" borderId="0" xfId="17" applyNumberFormat="1" applyFont="1" applyFill="1" applyAlignment="1">
      <alignment vertical="center"/>
    </xf>
    <xf numFmtId="170" fontId="29" fillId="20" borderId="18" xfId="17" applyNumberFormat="1" applyFont="1" applyFill="1" applyBorder="1" applyAlignment="1">
      <alignment horizontal="center" vertical="center"/>
    </xf>
    <xf numFmtId="0" fontId="25" fillId="14" borderId="0" xfId="17" applyFont="1" applyFill="1" applyAlignment="1">
      <alignment vertical="center"/>
    </xf>
    <xf numFmtId="170" fontId="29" fillId="0" borderId="0" xfId="17" applyNumberFormat="1" applyFont="1" applyAlignment="1">
      <alignment vertical="center"/>
    </xf>
    <xf numFmtId="170" fontId="25" fillId="19" borderId="21" xfId="17" applyNumberFormat="1" applyFont="1" applyFill="1" applyBorder="1" applyAlignment="1">
      <alignment horizontal="center" vertical="center"/>
    </xf>
    <xf numFmtId="0" fontId="31" fillId="0" borderId="22" xfId="17" applyFont="1" applyBorder="1" applyAlignment="1">
      <alignment horizontal="left" vertical="center" indent="4"/>
    </xf>
    <xf numFmtId="170" fontId="27" fillId="20" borderId="24" xfId="17" applyNumberFormat="1" applyFont="1" applyFill="1" applyBorder="1" applyAlignment="1">
      <alignment horizontal="center" vertical="center"/>
    </xf>
    <xf numFmtId="0" fontId="32" fillId="0" borderId="22" xfId="17" applyFont="1" applyBorder="1" applyAlignment="1">
      <alignment horizontal="left" vertical="center" indent="4"/>
    </xf>
    <xf numFmtId="0" fontId="33" fillId="0" borderId="0" xfId="17" applyFont="1" applyAlignment="1">
      <alignment vertical="center"/>
    </xf>
    <xf numFmtId="0" fontId="27" fillId="0" borderId="19" xfId="17" applyFont="1" applyBorder="1" applyAlignment="1">
      <alignment horizontal="left" vertical="center" indent="4"/>
    </xf>
    <xf numFmtId="170" fontId="27" fillId="19" borderId="20" xfId="17" applyNumberFormat="1" applyFont="1" applyFill="1" applyBorder="1" applyAlignment="1">
      <alignment horizontal="center" vertical="center"/>
    </xf>
    <xf numFmtId="170" fontId="27" fillId="0" borderId="0" xfId="17" applyNumberFormat="1" applyFont="1"/>
    <xf numFmtId="170" fontId="27" fillId="19" borderId="21" xfId="17" applyNumberFormat="1" applyFont="1" applyFill="1" applyBorder="1" applyAlignment="1">
      <alignment horizontal="center" vertical="center"/>
    </xf>
    <xf numFmtId="170" fontId="27" fillId="0" borderId="0" xfId="17" applyNumberFormat="1" applyFont="1" applyAlignment="1">
      <alignment vertical="center"/>
    </xf>
    <xf numFmtId="0" fontId="27" fillId="0" borderId="0" xfId="17" applyFont="1" applyAlignment="1">
      <alignment vertical="center"/>
    </xf>
    <xf numFmtId="0" fontId="10" fillId="0" borderId="23" xfId="17" applyFont="1" applyBorder="1" applyAlignment="1">
      <alignment horizontal="left" vertical="center" indent="3"/>
    </xf>
    <xf numFmtId="0" fontId="34" fillId="0" borderId="0" xfId="17" applyFont="1" applyAlignment="1">
      <alignment vertical="center"/>
    </xf>
    <xf numFmtId="170" fontId="35" fillId="0" borderId="20" xfId="17" applyNumberFormat="1" applyFont="1" applyBorder="1" applyAlignment="1">
      <alignment horizontal="center" vertical="center"/>
    </xf>
    <xf numFmtId="170" fontId="35" fillId="0" borderId="0" xfId="17" applyNumberFormat="1" applyFont="1" applyAlignment="1">
      <alignment vertical="center"/>
    </xf>
    <xf numFmtId="170" fontId="35" fillId="0" borderId="21" xfId="17" applyNumberFormat="1" applyFont="1" applyBorder="1" applyAlignment="1">
      <alignment horizontal="center" vertical="center"/>
    </xf>
    <xf numFmtId="170" fontId="35" fillId="0" borderId="0" xfId="17" applyNumberFormat="1" applyFont="1"/>
    <xf numFmtId="170" fontId="35" fillId="0" borderId="18" xfId="17" applyNumberFormat="1" applyFont="1" applyBorder="1" applyAlignment="1">
      <alignment horizontal="center" vertical="center"/>
    </xf>
    <xf numFmtId="170" fontId="20" fillId="20" borderId="24" xfId="17" applyNumberFormat="1" applyFont="1" applyFill="1" applyBorder="1" applyAlignment="1">
      <alignment horizontal="center" vertical="center"/>
    </xf>
    <xf numFmtId="0" fontId="24" fillId="0" borderId="26" xfId="17" applyFont="1" applyBorder="1" applyAlignment="1">
      <alignment horizontal="left" vertical="center" indent="3"/>
    </xf>
    <xf numFmtId="0" fontId="21" fillId="0" borderId="23" xfId="17" applyFont="1" applyBorder="1" applyAlignment="1">
      <alignment vertical="center"/>
    </xf>
    <xf numFmtId="170" fontId="21" fillId="19" borderId="20" xfId="17" applyNumberFormat="1" applyFont="1" applyFill="1" applyBorder="1" applyAlignment="1">
      <alignment horizontal="center" vertical="center"/>
    </xf>
    <xf numFmtId="170" fontId="21" fillId="19" borderId="21" xfId="17" applyNumberFormat="1" applyFont="1" applyFill="1" applyBorder="1" applyAlignment="1">
      <alignment horizontal="center" vertical="center"/>
    </xf>
    <xf numFmtId="170" fontId="21" fillId="20" borderId="24" xfId="17" applyNumberFormat="1" applyFont="1" applyFill="1" applyBorder="1" applyAlignment="1">
      <alignment horizontal="center" vertical="center"/>
    </xf>
    <xf numFmtId="170" fontId="18" fillId="19" borderId="27" xfId="17" applyNumberFormat="1" applyFont="1" applyFill="1" applyBorder="1" applyAlignment="1">
      <alignment horizontal="center" vertical="center"/>
    </xf>
    <xf numFmtId="170" fontId="18" fillId="19" borderId="28" xfId="17" applyNumberFormat="1" applyFont="1" applyFill="1" applyBorder="1" applyAlignment="1">
      <alignment horizontal="center" vertical="center"/>
    </xf>
    <xf numFmtId="170" fontId="18" fillId="20" borderId="29" xfId="17" applyNumberFormat="1" applyFont="1" applyFill="1" applyBorder="1" applyAlignment="1">
      <alignment horizontal="center" vertical="center"/>
    </xf>
    <xf numFmtId="0" fontId="18" fillId="0" borderId="30" xfId="17" applyFont="1" applyBorder="1" applyAlignment="1">
      <alignment vertical="center"/>
    </xf>
    <xf numFmtId="170" fontId="18" fillId="19" borderId="31" xfId="17" applyNumberFormat="1" applyFont="1" applyFill="1" applyBorder="1" applyAlignment="1">
      <alignment horizontal="center" vertical="center"/>
    </xf>
    <xf numFmtId="170" fontId="10" fillId="0" borderId="32" xfId="17" applyNumberFormat="1" applyFont="1" applyBorder="1" applyAlignment="1">
      <alignment vertical="center"/>
    </xf>
    <xf numFmtId="170" fontId="18" fillId="19" borderId="33" xfId="17" applyNumberFormat="1" applyFont="1" applyFill="1" applyBorder="1" applyAlignment="1">
      <alignment horizontal="center" vertical="center"/>
    </xf>
    <xf numFmtId="170" fontId="18" fillId="20" borderId="34" xfId="17" applyNumberFormat="1" applyFont="1" applyFill="1" applyBorder="1" applyAlignment="1">
      <alignment horizontal="center" vertical="center"/>
    </xf>
    <xf numFmtId="170" fontId="10" fillId="0" borderId="32" xfId="17" applyNumberFormat="1" applyFont="1" applyBorder="1"/>
    <xf numFmtId="170" fontId="18" fillId="19" borderId="32" xfId="17" applyNumberFormat="1" applyFont="1" applyFill="1" applyBorder="1" applyAlignment="1">
      <alignment horizontal="center" vertical="center"/>
    </xf>
    <xf numFmtId="0" fontId="36" fillId="0" borderId="0" xfId="17" applyFont="1" applyAlignment="1">
      <alignment vertical="center"/>
    </xf>
    <xf numFmtId="170" fontId="36" fillId="14" borderId="0" xfId="17" applyNumberFormat="1" applyFont="1" applyFill="1" applyAlignment="1">
      <alignment horizontal="center" vertical="center"/>
    </xf>
    <xf numFmtId="170" fontId="37" fillId="14" borderId="0" xfId="17" applyNumberFormat="1" applyFont="1" applyFill="1" applyAlignment="1">
      <alignment horizontal="center" vertical="center"/>
    </xf>
    <xf numFmtId="0" fontId="37" fillId="14" borderId="0" xfId="17" applyFont="1" applyFill="1" applyAlignment="1">
      <alignment horizontal="center" vertical="center"/>
    </xf>
    <xf numFmtId="0" fontId="37" fillId="0" borderId="0" xfId="17" applyFont="1" applyAlignment="1">
      <alignment vertical="center"/>
    </xf>
    <xf numFmtId="172" fontId="36" fillId="14" borderId="0" xfId="17" applyNumberFormat="1" applyFont="1" applyFill="1" applyAlignment="1">
      <alignment horizontal="center" vertical="center"/>
    </xf>
    <xf numFmtId="172" fontId="37" fillId="14" borderId="0" xfId="17" applyNumberFormat="1" applyFont="1" applyFill="1" applyAlignment="1">
      <alignment horizontal="center" vertical="center"/>
    </xf>
    <xf numFmtId="170" fontId="38" fillId="0" borderId="0" xfId="17" applyNumberFormat="1" applyFont="1" applyAlignment="1">
      <alignment horizontal="center" vertical="center"/>
    </xf>
    <xf numFmtId="170" fontId="38" fillId="14" borderId="0" xfId="17" applyNumberFormat="1" applyFont="1" applyFill="1" applyAlignment="1">
      <alignment horizontal="center"/>
    </xf>
    <xf numFmtId="0" fontId="10" fillId="21" borderId="30" xfId="17" applyFont="1" applyFill="1" applyBorder="1" applyAlignment="1">
      <alignment vertical="center"/>
    </xf>
    <xf numFmtId="170" fontId="10" fillId="21" borderId="31" xfId="17" applyNumberFormat="1" applyFont="1" applyFill="1" applyBorder="1" applyAlignment="1">
      <alignment horizontal="center" vertical="center"/>
    </xf>
    <xf numFmtId="170" fontId="10" fillId="21" borderId="32" xfId="17" applyNumberFormat="1" applyFont="1" applyFill="1" applyBorder="1" applyAlignment="1">
      <alignment vertical="center"/>
    </xf>
    <xf numFmtId="170" fontId="10" fillId="21" borderId="34" xfId="17" applyNumberFormat="1" applyFont="1" applyFill="1" applyBorder="1" applyAlignment="1">
      <alignment horizontal="center" vertical="center"/>
    </xf>
    <xf numFmtId="170" fontId="10" fillId="21" borderId="32" xfId="17" applyNumberFormat="1" applyFont="1" applyFill="1" applyBorder="1"/>
    <xf numFmtId="170" fontId="20" fillId="21" borderId="0" xfId="17" applyNumberFormat="1" applyFont="1" applyFill="1"/>
    <xf numFmtId="0" fontId="10" fillId="21" borderId="0" xfId="17" applyFont="1" applyFill="1" applyAlignment="1">
      <alignment vertical="center"/>
    </xf>
    <xf numFmtId="170" fontId="10" fillId="21" borderId="33" xfId="17" applyNumberFormat="1" applyFont="1" applyFill="1" applyBorder="1" applyAlignment="1">
      <alignment horizontal="center" vertical="center"/>
    </xf>
    <xf numFmtId="0" fontId="39" fillId="0" borderId="3" xfId="17" applyFont="1" applyBorder="1" applyAlignment="1">
      <alignment horizontal="center" vertical="center" wrapText="1"/>
    </xf>
    <xf numFmtId="169" fontId="10" fillId="19" borderId="4" xfId="17" applyNumberFormat="1" applyFont="1" applyFill="1" applyBorder="1" applyAlignment="1">
      <alignment horizontal="center" vertical="center" wrapText="1"/>
    </xf>
    <xf numFmtId="0" fontId="10" fillId="0" borderId="5" xfId="17" applyFont="1" applyBorder="1"/>
    <xf numFmtId="169" fontId="10" fillId="19" borderId="6" xfId="17" applyNumberFormat="1" applyFont="1" applyFill="1" applyBorder="1" applyAlignment="1">
      <alignment horizontal="center" vertical="center" wrapText="1"/>
    </xf>
    <xf numFmtId="169" fontId="10" fillId="20" borderId="7" xfId="17" applyNumberFormat="1" applyFont="1" applyFill="1" applyBorder="1" applyAlignment="1">
      <alignment horizontal="center" vertical="center" wrapText="1"/>
    </xf>
    <xf numFmtId="0" fontId="10" fillId="0" borderId="35" xfId="17" applyFont="1" applyBorder="1"/>
    <xf numFmtId="170" fontId="10" fillId="19" borderId="6" xfId="17" applyNumberFormat="1" applyFont="1" applyFill="1" applyBorder="1" applyAlignment="1">
      <alignment horizontal="center" vertical="center" wrapText="1"/>
    </xf>
    <xf numFmtId="170" fontId="10" fillId="0" borderId="36" xfId="17" applyNumberFormat="1" applyFont="1" applyBorder="1" applyAlignment="1">
      <alignment horizontal="center" vertical="center" wrapText="1"/>
    </xf>
    <xf numFmtId="0" fontId="10" fillId="0" borderId="14" xfId="17" applyFont="1" applyBorder="1" applyAlignment="1">
      <alignment vertical="center"/>
    </xf>
    <xf numFmtId="170" fontId="10" fillId="19" borderId="15" xfId="17" applyNumberFormat="1" applyFont="1" applyFill="1" applyBorder="1" applyAlignment="1">
      <alignment horizontal="center" vertical="center"/>
    </xf>
    <xf numFmtId="170" fontId="10" fillId="19" borderId="16" xfId="17" applyNumberFormat="1" applyFont="1" applyFill="1" applyBorder="1" applyAlignment="1">
      <alignment horizontal="center" vertical="center"/>
    </xf>
    <xf numFmtId="170" fontId="10" fillId="20" borderId="17" xfId="17" applyNumberFormat="1" applyFont="1" applyFill="1" applyBorder="1" applyAlignment="1">
      <alignment horizontal="center" vertical="center"/>
    </xf>
    <xf numFmtId="170" fontId="10" fillId="0" borderId="37" xfId="17" applyNumberFormat="1" applyFont="1" applyBorder="1" applyAlignment="1">
      <alignment horizontal="center" vertical="center"/>
    </xf>
    <xf numFmtId="171" fontId="10" fillId="0" borderId="0" xfId="17" applyNumberFormat="1" applyFont="1"/>
    <xf numFmtId="0" fontId="10" fillId="0" borderId="19" xfId="17" applyFont="1" applyBorder="1" applyAlignment="1">
      <alignment vertical="center"/>
    </xf>
    <xf numFmtId="170" fontId="10" fillId="0" borderId="19" xfId="17" applyNumberFormat="1" applyFont="1" applyBorder="1" applyAlignment="1">
      <alignment horizontal="center" vertical="center"/>
    </xf>
    <xf numFmtId="0" fontId="24" fillId="0" borderId="0" xfId="17" applyFont="1"/>
    <xf numFmtId="0" fontId="24" fillId="0" borderId="19" xfId="17" applyFont="1" applyBorder="1" applyAlignment="1">
      <alignment vertical="center"/>
    </xf>
    <xf numFmtId="170" fontId="24" fillId="0" borderId="0" xfId="17" applyNumberFormat="1" applyFont="1"/>
    <xf numFmtId="170" fontId="25" fillId="20" borderId="18" xfId="17" applyNumberFormat="1" applyFont="1" applyFill="1" applyBorder="1" applyAlignment="1">
      <alignment horizontal="center" vertical="center"/>
    </xf>
    <xf numFmtId="0" fontId="24" fillId="0" borderId="35" xfId="17" applyFont="1" applyBorder="1"/>
    <xf numFmtId="170" fontId="24" fillId="0" borderId="19" xfId="17" applyNumberFormat="1" applyFont="1" applyBorder="1" applyAlignment="1">
      <alignment horizontal="center" vertical="center"/>
    </xf>
    <xf numFmtId="0" fontId="10" fillId="0" borderId="22" xfId="17" applyFont="1" applyBorder="1" applyAlignment="1">
      <alignment vertical="center"/>
    </xf>
    <xf numFmtId="170" fontId="10" fillId="19" borderId="28" xfId="17" applyNumberFormat="1" applyFont="1" applyFill="1" applyBorder="1" applyAlignment="1">
      <alignment horizontal="center" vertical="center"/>
    </xf>
    <xf numFmtId="170" fontId="10" fillId="0" borderId="22" xfId="17" applyNumberFormat="1" applyFont="1" applyBorder="1" applyAlignment="1">
      <alignment horizontal="center" vertical="center"/>
    </xf>
    <xf numFmtId="170" fontId="10" fillId="19" borderId="27" xfId="17" applyNumberFormat="1" applyFont="1" applyFill="1" applyBorder="1" applyAlignment="1">
      <alignment horizontal="center" vertical="center"/>
    </xf>
    <xf numFmtId="170" fontId="10" fillId="22" borderId="0" xfId="17" applyNumberFormat="1" applyFont="1" applyFill="1"/>
    <xf numFmtId="0" fontId="40" fillId="0" borderId="0" xfId="17" applyFont="1"/>
    <xf numFmtId="0" fontId="20" fillId="0" borderId="19" xfId="17" applyFont="1" applyBorder="1" applyAlignment="1">
      <alignment vertical="center"/>
    </xf>
    <xf numFmtId="170" fontId="20" fillId="20" borderId="25" xfId="17" applyNumberFormat="1" applyFont="1" applyFill="1" applyBorder="1" applyAlignment="1">
      <alignment horizontal="center" vertical="center"/>
    </xf>
    <xf numFmtId="0" fontId="20" fillId="0" borderId="35" xfId="17" applyFont="1" applyBorder="1"/>
    <xf numFmtId="170" fontId="20" fillId="0" borderId="19" xfId="17" applyNumberFormat="1" applyFont="1" applyBorder="1" applyAlignment="1">
      <alignment horizontal="center" vertical="center"/>
    </xf>
    <xf numFmtId="0" fontId="18" fillId="0" borderId="38" xfId="17" applyFont="1" applyBorder="1" applyAlignment="1">
      <alignment vertical="center"/>
    </xf>
    <xf numFmtId="170" fontId="18" fillId="19" borderId="39" xfId="17" applyNumberFormat="1" applyFont="1" applyFill="1" applyBorder="1" applyAlignment="1">
      <alignment horizontal="center" vertical="center"/>
    </xf>
    <xf numFmtId="170" fontId="10" fillId="0" borderId="40" xfId="17" applyNumberFormat="1" applyFont="1" applyBorder="1"/>
    <xf numFmtId="170" fontId="18" fillId="19" borderId="41" xfId="17" applyNumberFormat="1" applyFont="1" applyFill="1" applyBorder="1" applyAlignment="1">
      <alignment horizontal="center" vertical="center"/>
    </xf>
    <xf numFmtId="170" fontId="18" fillId="20" borderId="38" xfId="17" applyNumberFormat="1" applyFont="1" applyFill="1" applyBorder="1" applyAlignment="1">
      <alignment horizontal="center" vertical="center"/>
    </xf>
    <xf numFmtId="170" fontId="18" fillId="0" borderId="42" xfId="17" applyNumberFormat="1" applyFont="1" applyBorder="1" applyAlignment="1">
      <alignment horizontal="center" vertical="center"/>
    </xf>
    <xf numFmtId="170" fontId="37" fillId="14" borderId="0" xfId="17" applyNumberFormat="1" applyFont="1" applyFill="1" applyAlignment="1">
      <alignment vertical="center"/>
    </xf>
    <xf numFmtId="0" fontId="37" fillId="14" borderId="0" xfId="17" applyFont="1" applyFill="1" applyAlignment="1">
      <alignment vertical="center"/>
    </xf>
    <xf numFmtId="173" fontId="41" fillId="0" borderId="0" xfId="17" applyNumberFormat="1" applyFont="1" applyAlignment="1">
      <alignment horizontal="right"/>
    </xf>
    <xf numFmtId="173" fontId="42" fillId="14" borderId="0" xfId="17" applyNumberFormat="1" applyFont="1" applyFill="1" applyAlignment="1">
      <alignment horizontal="right"/>
    </xf>
    <xf numFmtId="173" fontId="42" fillId="14" borderId="0" xfId="17" applyNumberFormat="1" applyFont="1" applyFill="1" applyAlignment="1">
      <alignment horizontal="center"/>
    </xf>
    <xf numFmtId="170" fontId="10" fillId="19" borderId="0" xfId="17" applyNumberFormat="1" applyFont="1" applyFill="1" applyAlignment="1">
      <alignment horizontal="center" vertical="center"/>
    </xf>
    <xf numFmtId="173" fontId="42" fillId="0" borderId="0" xfId="17" applyNumberFormat="1" applyFont="1" applyAlignment="1">
      <alignment horizontal="center"/>
    </xf>
    <xf numFmtId="0" fontId="17" fillId="0" borderId="0" xfId="17" applyFont="1" applyAlignment="1">
      <alignment vertical="center"/>
    </xf>
    <xf numFmtId="0" fontId="43" fillId="0" borderId="30" xfId="17" applyFont="1" applyBorder="1" applyAlignment="1">
      <alignment vertical="center"/>
    </xf>
    <xf numFmtId="170" fontId="43" fillId="19" borderId="31" xfId="17" applyNumberFormat="1" applyFont="1" applyFill="1" applyBorder="1" applyAlignment="1">
      <alignment horizontal="center" vertical="center"/>
    </xf>
    <xf numFmtId="170" fontId="17" fillId="0" borderId="32" xfId="17" applyNumberFormat="1" applyFont="1" applyBorder="1" applyAlignment="1">
      <alignment vertical="center"/>
    </xf>
    <xf numFmtId="170" fontId="43" fillId="20" borderId="34" xfId="17" applyNumberFormat="1" applyFont="1" applyFill="1" applyBorder="1" applyAlignment="1">
      <alignment horizontal="center" vertical="center"/>
    </xf>
    <xf numFmtId="0" fontId="43" fillId="0" borderId="0" xfId="17" applyFont="1" applyAlignment="1">
      <alignment vertical="center"/>
    </xf>
    <xf numFmtId="170" fontId="44" fillId="14" borderId="0" xfId="17" applyNumberFormat="1" applyFont="1" applyFill="1"/>
    <xf numFmtId="170" fontId="17" fillId="0" borderId="32" xfId="17" applyNumberFormat="1" applyFont="1" applyBorder="1"/>
    <xf numFmtId="170" fontId="43" fillId="19" borderId="33" xfId="17" applyNumberFormat="1" applyFont="1" applyFill="1" applyBorder="1" applyAlignment="1">
      <alignment horizontal="center" vertical="center"/>
    </xf>
    <xf numFmtId="0" fontId="18" fillId="22" borderId="43" xfId="17" applyFont="1" applyFill="1" applyBorder="1" applyAlignment="1">
      <alignment vertical="center"/>
    </xf>
    <xf numFmtId="170" fontId="18" fillId="19" borderId="44" xfId="17" applyNumberFormat="1" applyFont="1" applyFill="1" applyBorder="1" applyAlignment="1">
      <alignment horizontal="center" vertical="center"/>
    </xf>
    <xf numFmtId="170" fontId="18" fillId="0" borderId="5" xfId="17" applyNumberFormat="1" applyFont="1" applyBorder="1"/>
    <xf numFmtId="170" fontId="18" fillId="19" borderId="45" xfId="17" applyNumberFormat="1" applyFont="1" applyFill="1" applyBorder="1" applyAlignment="1">
      <alignment horizontal="center" vertical="center"/>
    </xf>
    <xf numFmtId="170" fontId="18" fillId="20" borderId="46" xfId="17" applyNumberFormat="1" applyFont="1" applyFill="1" applyBorder="1" applyAlignment="1">
      <alignment horizontal="center" vertical="center"/>
    </xf>
    <xf numFmtId="0" fontId="6" fillId="0" borderId="5" xfId="17" applyBorder="1"/>
    <xf numFmtId="170" fontId="18" fillId="19" borderId="4" xfId="17" applyNumberFormat="1" applyFont="1" applyFill="1" applyBorder="1" applyAlignment="1">
      <alignment horizontal="center" vertical="center"/>
    </xf>
    <xf numFmtId="170" fontId="18" fillId="19" borderId="6" xfId="17" applyNumberFormat="1" applyFont="1" applyFill="1" applyBorder="1" applyAlignment="1">
      <alignment horizontal="center" vertical="center"/>
    </xf>
    <xf numFmtId="170" fontId="18" fillId="20" borderId="7" xfId="17" applyNumberFormat="1" applyFont="1" applyFill="1" applyBorder="1" applyAlignment="1">
      <alignment horizontal="center" vertical="center"/>
    </xf>
    <xf numFmtId="170" fontId="18" fillId="19" borderId="0" xfId="17" applyNumberFormat="1" applyFont="1" applyFill="1" applyAlignment="1">
      <alignment horizontal="center" vertical="center"/>
    </xf>
    <xf numFmtId="170" fontId="18" fillId="0" borderId="0" xfId="17" applyNumberFormat="1" applyFont="1"/>
    <xf numFmtId="170" fontId="18" fillId="20" borderId="0" xfId="17" applyNumberFormat="1" applyFont="1" applyFill="1" applyAlignment="1">
      <alignment horizontal="center" vertical="center"/>
    </xf>
    <xf numFmtId="0" fontId="10" fillId="22" borderId="47" xfId="17" applyFont="1" applyFill="1" applyBorder="1" applyAlignment="1">
      <alignment vertical="center"/>
    </xf>
    <xf numFmtId="170" fontId="10" fillId="20" borderId="0" xfId="17" applyNumberFormat="1" applyFont="1" applyFill="1" applyAlignment="1">
      <alignment horizontal="center" vertical="center"/>
    </xf>
    <xf numFmtId="0" fontId="18" fillId="22" borderId="47" xfId="17" applyFont="1" applyFill="1" applyBorder="1" applyAlignment="1">
      <alignment vertical="center"/>
    </xf>
    <xf numFmtId="0" fontId="10" fillId="22" borderId="48" xfId="17" applyFont="1" applyFill="1" applyBorder="1" applyAlignment="1">
      <alignment vertical="center"/>
    </xf>
    <xf numFmtId="0" fontId="43" fillId="22" borderId="30" xfId="17" applyFont="1" applyFill="1" applyBorder="1" applyAlignment="1">
      <alignment vertical="center"/>
    </xf>
    <xf numFmtId="170" fontId="43" fillId="0" borderId="32" xfId="17" applyNumberFormat="1" applyFont="1" applyBorder="1"/>
    <xf numFmtId="0" fontId="6" fillId="0" borderId="32" xfId="17" applyBorder="1"/>
    <xf numFmtId="170" fontId="43" fillId="19" borderId="0" xfId="17" applyNumberFormat="1" applyFont="1" applyFill="1" applyAlignment="1">
      <alignment horizontal="center" vertical="center"/>
    </xf>
    <xf numFmtId="170" fontId="43" fillId="0" borderId="0" xfId="17" applyNumberFormat="1" applyFont="1"/>
    <xf numFmtId="170" fontId="43" fillId="20" borderId="0" xfId="17" applyNumberFormat="1" applyFont="1" applyFill="1" applyAlignment="1">
      <alignment horizontal="center" vertical="center"/>
    </xf>
    <xf numFmtId="174" fontId="6" fillId="0" borderId="0" xfId="19" applyNumberFormat="1" applyFont="1"/>
    <xf numFmtId="174" fontId="11" fillId="0" borderId="0" xfId="19" applyNumberFormat="1" applyFont="1"/>
    <xf numFmtId="174" fontId="11" fillId="14" borderId="0" xfId="19" applyNumberFormat="1" applyFont="1" applyFill="1"/>
    <xf numFmtId="171" fontId="11" fillId="0" borderId="0" xfId="17" applyNumberFormat="1" applyFont="1"/>
    <xf numFmtId="0" fontId="45" fillId="23" borderId="49" xfId="17" applyFont="1" applyFill="1" applyBorder="1"/>
    <xf numFmtId="165" fontId="6" fillId="0" borderId="0" xfId="19" applyFont="1"/>
    <xf numFmtId="170" fontId="21" fillId="19" borderId="31" xfId="17" applyNumberFormat="1" applyFont="1" applyFill="1" applyBorder="1" applyAlignment="1">
      <alignment horizontal="center" vertical="center"/>
    </xf>
    <xf numFmtId="170" fontId="21" fillId="0" borderId="32" xfId="17" applyNumberFormat="1" applyFont="1" applyBorder="1" applyAlignment="1">
      <alignment vertical="center"/>
    </xf>
    <xf numFmtId="170" fontId="21" fillId="19" borderId="33" xfId="17" applyNumberFormat="1" applyFont="1" applyFill="1" applyBorder="1" applyAlignment="1">
      <alignment horizontal="center" vertical="center"/>
    </xf>
    <xf numFmtId="170" fontId="20" fillId="0" borderId="32" xfId="17" applyNumberFormat="1" applyFont="1" applyBorder="1"/>
    <xf numFmtId="170" fontId="21" fillId="20" borderId="34" xfId="17" applyNumberFormat="1" applyFont="1" applyFill="1" applyBorder="1" applyAlignment="1">
      <alignment horizontal="center" vertical="center"/>
    </xf>
    <xf numFmtId="171" fontId="6" fillId="0" borderId="0" xfId="17" applyNumberFormat="1"/>
    <xf numFmtId="0" fontId="18" fillId="0" borderId="50" xfId="17" applyFont="1" applyBorder="1" applyAlignment="1">
      <alignment vertical="center"/>
    </xf>
    <xf numFmtId="175" fontId="10" fillId="2" borderId="20" xfId="17" applyNumberFormat="1" applyFont="1" applyFill="1" applyBorder="1" applyAlignment="1">
      <alignment horizontal="center" vertical="center"/>
    </xf>
    <xf numFmtId="170" fontId="25" fillId="13" borderId="20" xfId="17" applyNumberFormat="1" applyFont="1" applyFill="1" applyBorder="1" applyAlignment="1">
      <alignment horizontal="center" vertical="center"/>
    </xf>
    <xf numFmtId="170" fontId="10" fillId="13" borderId="20" xfId="17" applyNumberFormat="1" applyFont="1" applyFill="1" applyBorder="1" applyAlignment="1">
      <alignment horizontal="center" vertical="center"/>
    </xf>
    <xf numFmtId="169" fontId="17" fillId="19" borderId="6" xfId="17" applyNumberFormat="1" applyFont="1" applyFill="1" applyBorder="1" applyAlignment="1">
      <alignment horizontal="center" vertical="center" wrapText="1"/>
    </xf>
    <xf numFmtId="169" fontId="17" fillId="19" borderId="10" xfId="17" applyNumberFormat="1" applyFont="1" applyFill="1" applyBorder="1" applyAlignment="1">
      <alignment horizontal="center" vertical="center" wrapText="1"/>
    </xf>
    <xf numFmtId="169" fontId="17" fillId="20" borderId="7" xfId="17" applyNumberFormat="1" applyFont="1" applyFill="1" applyBorder="1" applyAlignment="1">
      <alignment horizontal="center" vertical="center" wrapText="1"/>
    </xf>
    <xf numFmtId="0" fontId="17" fillId="20" borderId="11" xfId="17" applyFont="1" applyFill="1" applyBorder="1" applyAlignment="1">
      <alignment horizontal="center" vertical="center" wrapText="1"/>
    </xf>
    <xf numFmtId="169" fontId="17" fillId="19" borderId="4" xfId="17" applyNumberFormat="1" applyFont="1" applyFill="1" applyBorder="1" applyAlignment="1">
      <alignment horizontal="center" vertical="center" wrapText="1"/>
    </xf>
    <xf numFmtId="169" fontId="17" fillId="19" borderId="9" xfId="17" applyNumberFormat="1" applyFont="1" applyFill="1" applyBorder="1" applyAlignment="1">
      <alignment horizontal="center" vertical="center" wrapText="1"/>
    </xf>
    <xf numFmtId="169" fontId="17" fillId="20" borderId="11" xfId="17" applyNumberFormat="1" applyFont="1" applyFill="1" applyBorder="1" applyAlignment="1">
      <alignment horizontal="center" vertical="center" wrapText="1"/>
    </xf>
    <xf numFmtId="0" fontId="13" fillId="16" borderId="0" xfId="17" applyFont="1" applyFill="1" applyAlignment="1">
      <alignment horizontal="center" vertical="center" wrapText="1"/>
    </xf>
    <xf numFmtId="0" fontId="13" fillId="17" borderId="0" xfId="17" applyFont="1" applyFill="1" applyAlignment="1">
      <alignment horizontal="center" vertical="center" wrapText="1"/>
    </xf>
    <xf numFmtId="0" fontId="15" fillId="18" borderId="0" xfId="17" applyFont="1" applyFill="1" applyAlignment="1">
      <alignment horizontal="center" vertical="center"/>
    </xf>
    <xf numFmtId="0" fontId="6" fillId="0" borderId="0" xfId="17" applyAlignment="1">
      <alignment horizontal="center" vertical="center"/>
    </xf>
    <xf numFmtId="0" fontId="16" fillId="0" borderId="3" xfId="17" applyFont="1" applyBorder="1" applyAlignment="1">
      <alignment horizontal="center" vertical="center" wrapText="1"/>
    </xf>
    <xf numFmtId="0" fontId="16" fillId="0" borderId="8" xfId="17" applyFont="1" applyBorder="1" applyAlignment="1">
      <alignment horizontal="center" vertical="center" wrapText="1"/>
    </xf>
    <xf numFmtId="0" fontId="13" fillId="15" borderId="0" xfId="17" applyFont="1" applyFill="1" applyAlignment="1">
      <alignment horizontal="center" vertical="center" wrapText="1"/>
    </xf>
  </cellXfs>
  <cellStyles count="21">
    <cellStyle name="A_Center Left +0" xfId="14" xr:uid="{27CDE8E2-1B25-45FF-B017-546C26039D0E}"/>
    <cellStyle name="A_Gen Center" xfId="15" xr:uid="{F3C2B6D5-1D94-4908-BD21-69C85EDE5143}"/>
    <cellStyle name="F_Dark Green" xfId="9" xr:uid="{A3566081-574F-47D8-BEE3-F348111647FE}"/>
    <cellStyle name="F_Fern Green" xfId="11" xr:uid="{FDE2D1F6-1792-43E3-B034-690BE2312933}"/>
    <cellStyle name="F_Light Green" xfId="7" xr:uid="{775E0E65-7F4E-4785-9794-FC92554F02E9}"/>
    <cellStyle name="F_Mantis Green" xfId="10" xr:uid="{78DAE143-B278-4414-AC3D-011B0D5AAF92}"/>
    <cellStyle name="F_Medium Spring Green" xfId="8" xr:uid="{DCCFDA9A-62FA-4B2B-A89C-2DF09243DD0A}"/>
    <cellStyle name="F_Mint Cream" xfId="6" xr:uid="{90F4D983-7796-4DF2-B7F5-642B158DDC81}"/>
    <cellStyle name="F_Teal" xfId="12" xr:uid="{30B509B4-EA44-49F3-8C52-5ED29A722496}"/>
    <cellStyle name="F_Yellow" xfId="13" xr:uid="{94E1C65F-2C0E-47D4-AA0A-C5D2A736813C}"/>
    <cellStyle name="Milliers 2" xfId="19" xr:uid="{AB78F22F-C6A9-44FA-B25E-0DE5F255EF22}"/>
    <cellStyle name="Milliers 3" xfId="4" xr:uid="{08954947-DCA2-4C68-9ABF-74B5AEBC10B2}"/>
    <cellStyle name="Normal" xfId="0" builtinId="0"/>
    <cellStyle name="Normal 11" xfId="2" xr:uid="{56BA9987-5794-4243-BD95-D85CFA5653E6}"/>
    <cellStyle name="Normal 2" xfId="1" xr:uid="{13FB65CB-5A53-4295-9A47-D0D83F8A9B74}"/>
    <cellStyle name="Normal 2 2" xfId="17" xr:uid="{F73E9205-8F85-46A5-80B3-5D52B52CCD2E}"/>
    <cellStyle name="Normal 2 3" xfId="20" xr:uid="{A02E5EB2-AAC9-4FF8-B055-C87D0D571256}"/>
    <cellStyle name="Normal 3" xfId="16" xr:uid="{0358B9E4-FF0F-4401-9521-A943A70A4A43}"/>
    <cellStyle name="Pourcentage 2" xfId="18" xr:uid="{6CEAE5D6-DB39-4B94-A78B-CD7FCD5B210D}"/>
    <cellStyle name="T_Arial 8 Bold White" xfId="5" xr:uid="{D20796B2-9363-4315-B7A7-9BE8646D3D4B}"/>
    <cellStyle name="T_Cal 9 Reg Black" xfId="3" xr:uid="{BE95F7F2-F668-4519-B9C8-E799E97AC800}"/>
  </cellStyles>
  <dxfs count="33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2</xdr:row>
      <xdr:rowOff>9525</xdr:rowOff>
    </xdr:from>
    <xdr:to>
      <xdr:col>12</xdr:col>
      <xdr:colOff>171450</xdr:colOff>
      <xdr:row>6</xdr:row>
      <xdr:rowOff>28575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96181D8-FE66-4EA1-A636-4D4B1797FBAC}"/>
            </a:ext>
          </a:extLst>
        </xdr:cNvPr>
        <xdr:cNvSpPr txBox="1"/>
      </xdr:nvSpPr>
      <xdr:spPr>
        <a:xfrm>
          <a:off x="5490210" y="268605"/>
          <a:ext cx="5882640" cy="5372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>
              <a:solidFill>
                <a:srgbClr val="00B050"/>
              </a:solidFill>
            </a:rPr>
            <a:t>The</a:t>
          </a:r>
          <a:r>
            <a:rPr lang="fr-FR" sz="1100" baseline="0">
              <a:solidFill>
                <a:srgbClr val="00B050"/>
              </a:solidFill>
            </a:rPr>
            <a:t> business lines are now called PMA (stands for Pole Metiers Activities) - we have created PMA codes for all the different OA you have in Magnitude</a:t>
          </a:r>
        </a:p>
        <a:p>
          <a:endParaRPr lang="fr-FR" sz="1100">
            <a:solidFill>
              <a:sysClr val="windowText" lastClr="000000"/>
            </a:solidFill>
          </a:endParaRPr>
        </a:p>
        <a:p>
          <a:endParaRPr lang="fr-FR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2</xdr:row>
      <xdr:rowOff>28575</xdr:rowOff>
    </xdr:from>
    <xdr:to>
      <xdr:col>16</xdr:col>
      <xdr:colOff>57150</xdr:colOff>
      <xdr:row>6</xdr:row>
      <xdr:rowOff>47625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FA132C32-EC8E-469B-B512-AF0CB2CE7426}"/>
            </a:ext>
          </a:extLst>
        </xdr:cNvPr>
        <xdr:cNvSpPr txBox="1"/>
      </xdr:nvSpPr>
      <xdr:spPr>
        <a:xfrm>
          <a:off x="7879080" y="287655"/>
          <a:ext cx="7151370" cy="5372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>
              <a:solidFill>
                <a:srgbClr val="00B050"/>
              </a:solidFill>
            </a:rPr>
            <a:t>The</a:t>
          </a:r>
          <a:r>
            <a:rPr lang="fr-FR" sz="1100" baseline="0">
              <a:solidFill>
                <a:srgbClr val="00B050"/>
              </a:solidFill>
            </a:rPr>
            <a:t> entities used in Solare are the legal entities known in BNPP Group and handled in Regent BNPP tool</a:t>
          </a:r>
        </a:p>
        <a:p>
          <a:endParaRPr lang="fr-FR" sz="1100">
            <a:solidFill>
              <a:sysClr val="windowText" lastClr="000000"/>
            </a:solidFill>
          </a:endParaRPr>
        </a:p>
        <a:p>
          <a:endParaRPr lang="fr-FR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K$\Contr&#244;le%20de%20Gestion\1_Synth&#232;se%20Groupe\1_%20ACTUAL\2023\2023.12\01%20-%20R&#233;sultat\Draft\old\draft%20analyses%20B2012%20par%20trimestre%20te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s003i0002\winimmo$\AriFinance\Contr&#244;le%20de%20Gestion\4_ESTIMES\2009\7-Estim&#233;%20Septembre%202009\4%20-%20Analyse\a%20-%20Analyse%20d'ensemble\Version%20Draft\Draft%20annuel\draft%20analyses%20E2009_B%202010%20Vdef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s003i0002\winimmo$\AriFinance\Contr&#244;le%20de%20Gestion\4_ESTIMES\2009\6-Estim&#233;%20Juin\4%20-%20Analyse\a%20-%20Analyse%20d'ensemble\Versions%20Draft\Draft%20annuel\Copie%20(2)%20de%20draft%20analyses%20E%202009.06%20Vdef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ppData/Local/Microsoft/Windows/INetCache/Content.Outlook/O07894PU/Draft%20Analyses%20QTD%20A03%20V3_valeurs_TestSolare%20(002).xls" TargetMode="External"/><Relationship Id="rId2" Type="http://schemas.openxmlformats.org/officeDocument/2006/relationships/externalLinkPath" Target="file:///C:\Users\h72527\AppData\Local\Microsoft\Windows\INetCache\Content.Outlook\O07894PU\Draft%20Analyses%20QTD%20A03%20V3_valeurs_TestSolare%20(002).xls" TargetMode="External"/><Relationship Id="rId1" Type="http://schemas.openxmlformats.org/officeDocument/2006/relationships/externalLinkPath" Target="/Users/h72527/AppData/Local/Microsoft/Windows/INetCache/Content.Outlook/O07894PU/Draft%20Analyses%20QTD%20A03%20V3_valeurs_TestSolare%20(00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s003i0002\winimmo$\AriFinance\Contr&#244;le%20de%20Gestion\4_ESTIMES\2007\3%20-%20Estim&#233;%20Septembre%202007\1%20-%20Pilotage\Estim&#233;%202007.09%20V20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72527\Desktop\RDH\2026%20T1\Fichiers%20alexandre\Draft%20Analyses%20QTD%20A03%20V3%202026%20T1%20Saad.xlsx" TargetMode="External"/><Relationship Id="rId1" Type="http://schemas.openxmlformats.org/officeDocument/2006/relationships/externalLinkPath" Target="Fichiers%20alexandre/Draft%20Analyses%20QTD%20A03%20V3%202026%20T1%20Saa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ntr&#244;le%20de%20Gestion\1_Synth&#232;se%20Groupe\1_%20ACTUAL\2026\2026.03\01%20-%20R&#233;sultat\R&#233;sultat\R&#233;alis&#233;%202026%20A03%20V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ntr&#244;le%20de%20Gestion\1_Synth&#232;se%20Groupe\1_%20ACTUAL\2026\2026.03\01%20-%20R&#233;sultat\R&#233;sultat\R&#233;alis&#233;%202026%20A03%20V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ant en GBP"/>
      <sheetName val="T1 Variables Budget N"/>
      <sheetName val="T2 Variables Budget N"/>
      <sheetName val="T1 Variables N"/>
      <sheetName val="T2 Variables N"/>
      <sheetName val="T1 Actual N"/>
      <sheetName val="T2 Actual N"/>
      <sheetName val="T1 Budget N"/>
      <sheetName val="T2 Budget N"/>
      <sheetName val="libellé"/>
      <sheetName val="Presentation"/>
      <sheetName val="T1 N-1 vs T1 B N"/>
      <sheetName val="T2 N-1 vs T2 B N"/>
    </sheetNames>
    <sheetDataSet>
      <sheetData sheetId="0"/>
      <sheetData sheetId="1" refreshError="1">
        <row r="56">
          <cell r="B56">
            <v>1</v>
          </cell>
          <cell r="C56" t="str">
            <v>OA=OA005</v>
          </cell>
          <cell r="D56" t="str">
            <v>OA=OA006</v>
          </cell>
          <cell r="E56" t="str">
            <v>OA=OA010</v>
          </cell>
          <cell r="F56" t="str">
            <v>OA=OA011</v>
          </cell>
          <cell r="G56" t="str">
            <v>OA=OA015</v>
          </cell>
          <cell r="H56" t="str">
            <v>OA=OA016</v>
          </cell>
          <cell r="I56" t="str">
            <v>OA=OA017</v>
          </cell>
          <cell r="J56" t="str">
            <v>OA=OA020</v>
          </cell>
          <cell r="K56" t="str">
            <v>OA=OA021</v>
          </cell>
          <cell r="L56" t="str">
            <v>OA=OA022</v>
          </cell>
          <cell r="M56" t="str">
            <v>OA=OA030</v>
          </cell>
          <cell r="N56" t="str">
            <v>OA=OA031</v>
          </cell>
          <cell r="O56" t="str">
            <v>OA=OA035</v>
          </cell>
          <cell r="P56" t="str">
            <v>OA=OA036</v>
          </cell>
          <cell r="Q56" t="str">
            <v>OA=OA040</v>
          </cell>
          <cell r="R56" t="str">
            <v>OA=OA041</v>
          </cell>
          <cell r="S56" t="str">
            <v>OA=OA060</v>
          </cell>
          <cell r="T56" t="str">
            <v>OA=OA061</v>
          </cell>
          <cell r="U56" t="str">
            <v>OA sum AR001</v>
          </cell>
        </row>
        <row r="57">
          <cell r="B57">
            <v>2</v>
          </cell>
        </row>
        <row r="58">
          <cell r="A58" t="str">
            <v>AC=GR2000</v>
          </cell>
          <cell r="B58">
            <v>3</v>
          </cell>
          <cell r="C58">
            <v>0</v>
          </cell>
          <cell r="D58">
            <v>0</v>
          </cell>
          <cell r="E58">
            <v>-153.05699999999999</v>
          </cell>
          <cell r="F58">
            <v>-47.201999999999998</v>
          </cell>
          <cell r="G58">
            <v>-63.828000000000003</v>
          </cell>
          <cell r="H58">
            <v>0</v>
          </cell>
          <cell r="I58">
            <v>0</v>
          </cell>
          <cell r="J58">
            <v>0</v>
          </cell>
          <cell r="K58">
            <v>-21.152999999999999</v>
          </cell>
          <cell r="L58">
            <v>0</v>
          </cell>
          <cell r="M58">
            <v>-31.931999999999999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-317.17200000000003</v>
          </cell>
        </row>
      </sheetData>
      <sheetData sheetId="2" refreshError="1">
        <row r="11">
          <cell r="B11">
            <v>1</v>
          </cell>
          <cell r="C11" t="str">
            <v>OA=OA005</v>
          </cell>
          <cell r="D11" t="str">
            <v>OA=OA006</v>
          </cell>
          <cell r="E11" t="str">
            <v>OA=OA010</v>
          </cell>
          <cell r="F11" t="str">
            <v>OA=OA011</v>
          </cell>
          <cell r="G11" t="str">
            <v>OA=OA015</v>
          </cell>
          <cell r="H11" t="str">
            <v>OA=OA016</v>
          </cell>
          <cell r="I11" t="str">
            <v>OA=OA017</v>
          </cell>
          <cell r="J11" t="str">
            <v>OA=OA020</v>
          </cell>
          <cell r="K11" t="str">
            <v>OA=OA021</v>
          </cell>
          <cell r="L11" t="str">
            <v>OA=OA022</v>
          </cell>
          <cell r="M11" t="str">
            <v>OA=OA030</v>
          </cell>
          <cell r="N11" t="str">
            <v>OA=OA031</v>
          </cell>
          <cell r="O11" t="str">
            <v>OA=OA035</v>
          </cell>
          <cell r="P11" t="str">
            <v>OA=OA036</v>
          </cell>
          <cell r="Q11" t="str">
            <v>OA=OA040</v>
          </cell>
          <cell r="R11" t="str">
            <v>OA=OA041</v>
          </cell>
          <cell r="S11" t="str">
            <v>OA=OA060</v>
          </cell>
          <cell r="T11" t="str">
            <v>OA=OA061</v>
          </cell>
          <cell r="U11" t="str">
            <v>OA sum AR001</v>
          </cell>
        </row>
        <row r="12">
          <cell r="B12">
            <v>2</v>
          </cell>
        </row>
        <row r="13">
          <cell r="A13" t="str">
            <v>AC=GR2000</v>
          </cell>
          <cell r="B13">
            <v>3</v>
          </cell>
          <cell r="C13">
            <v>-998.20834079999997</v>
          </cell>
          <cell r="D13">
            <v>0</v>
          </cell>
          <cell r="E13">
            <v>-7662.4011423625298</v>
          </cell>
          <cell r="F13">
            <v>-1801.00237031081</v>
          </cell>
          <cell r="G13">
            <v>-992.58900000000006</v>
          </cell>
          <cell r="H13">
            <v>-80.692999999999998</v>
          </cell>
          <cell r="I13">
            <v>0</v>
          </cell>
          <cell r="J13">
            <v>-154.102296722077</v>
          </cell>
          <cell r="K13">
            <v>-347.11200023501101</v>
          </cell>
          <cell r="L13">
            <v>-7.1649484536082504</v>
          </cell>
          <cell r="M13">
            <v>-719.07520092745995</v>
          </cell>
          <cell r="N13">
            <v>-77.198999999999998</v>
          </cell>
          <cell r="O13">
            <v>0</v>
          </cell>
          <cell r="P13">
            <v>-75.27</v>
          </cell>
          <cell r="Q13">
            <v>-888.99280057732005</v>
          </cell>
          <cell r="R13">
            <v>-757.81500000000005</v>
          </cell>
          <cell r="S13">
            <v>-646.02694005498302</v>
          </cell>
          <cell r="T13">
            <v>-211.33444673539501</v>
          </cell>
          <cell r="U13">
            <v>-15418.9864871792</v>
          </cell>
        </row>
        <row r="26">
          <cell r="B26">
            <v>1</v>
          </cell>
          <cell r="C26" t="str">
            <v>RU=GT-TUT</v>
          </cell>
          <cell r="D26" t="str">
            <v>RU=GT-FPBNPPI</v>
          </cell>
          <cell r="E26" t="str">
            <v>RU=GT-FPAR</v>
          </cell>
          <cell r="F26" t="str">
            <v>RU=G-CENTRAL</v>
          </cell>
          <cell r="G26" t="str">
            <v>RU=G-HDBNPPI</v>
          </cell>
          <cell r="H26" t="str">
            <v>RU=G-FRMP</v>
          </cell>
          <cell r="I26" t="str">
            <v>RU=G-HDAR</v>
          </cell>
          <cell r="J26" t="str">
            <v>RU=G-FRAR</v>
          </cell>
          <cell r="K26" t="str">
            <v>RU=G-UK</v>
          </cell>
          <cell r="L26" t="str">
            <v>RU=G-DE</v>
          </cell>
          <cell r="M26" t="str">
            <v>RU=G-SP</v>
          </cell>
          <cell r="N26" t="str">
            <v>RU=G-BE</v>
          </cell>
          <cell r="O26" t="str">
            <v>RU=G-LX</v>
          </cell>
          <cell r="P26" t="str">
            <v>RU=G-ITAR</v>
          </cell>
          <cell r="Q26" t="str">
            <v>RU=G-IR</v>
          </cell>
          <cell r="R26" t="str">
            <v>RU=G-US</v>
          </cell>
          <cell r="S26" t="str">
            <v>RU=G-ITBNL</v>
          </cell>
          <cell r="T26" t="str">
            <v>RU=G-ITNAZCA</v>
          </cell>
          <cell r="U26" t="str">
            <v>RU=G-ITMP</v>
          </cell>
          <cell r="V26" t="str">
            <v>RU=G-ABU</v>
          </cell>
          <cell r="W26" t="str">
            <v>RU=G-GULF</v>
          </cell>
          <cell r="X26" t="str">
            <v>RU=G-JER</v>
          </cell>
          <cell r="Y26" t="str">
            <v>RU=G-ROM</v>
          </cell>
          <cell r="Z26" t="str">
            <v>RU=G-IND</v>
          </cell>
          <cell r="AA26" t="str">
            <v>RU=G-ABER</v>
          </cell>
          <cell r="AB26" t="str">
            <v>RU=G-REIMLUX</v>
          </cell>
          <cell r="AC26" t="str">
            <v>RU=G-REIMSP</v>
          </cell>
          <cell r="AD26" t="str">
            <v>RU=G-UKPROMO</v>
          </cell>
          <cell r="AE26" t="str">
            <v>RU=G-HUN</v>
          </cell>
          <cell r="AF26" t="str">
            <v>RU=G-TCH</v>
          </cell>
          <cell r="AG26" t="str">
            <v>RU=G-POL</v>
          </cell>
          <cell r="AH26" t="str">
            <v>RU sum AF00100</v>
          </cell>
        </row>
        <row r="27">
          <cell r="B27">
            <v>2</v>
          </cell>
        </row>
        <row r="28">
          <cell r="A28" t="str">
            <v>AC=GR2000</v>
          </cell>
          <cell r="B28">
            <v>3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-998.20834079999997</v>
          </cell>
          <cell r="H28">
            <v>-3451.4809639999999</v>
          </cell>
          <cell r="I28">
            <v>0</v>
          </cell>
          <cell r="J28">
            <v>-6184.2487336000004</v>
          </cell>
          <cell r="K28">
            <v>-67.656357388316195</v>
          </cell>
          <cell r="L28">
            <v>-2958.7139999999999</v>
          </cell>
          <cell r="M28">
            <v>-397.572</v>
          </cell>
          <cell r="N28">
            <v>-209.00399999999999</v>
          </cell>
          <cell r="O28">
            <v>-81.528999999999996</v>
          </cell>
          <cell r="P28">
            <v>-234.01400000000001</v>
          </cell>
          <cell r="Q28">
            <v>-3</v>
          </cell>
          <cell r="R28">
            <v>0</v>
          </cell>
          <cell r="S28">
            <v>-274.86</v>
          </cell>
          <cell r="T28">
            <v>-123.03</v>
          </cell>
          <cell r="U28">
            <v>-26.93</v>
          </cell>
          <cell r="V28">
            <v>-18.653818112049098</v>
          </cell>
          <cell r="W28">
            <v>-18.653818112049098</v>
          </cell>
          <cell r="X28">
            <v>0</v>
          </cell>
          <cell r="Y28">
            <v>-39.243757431629</v>
          </cell>
          <cell r="Z28">
            <v>-59.356053832909502</v>
          </cell>
          <cell r="AA28">
            <v>0</v>
          </cell>
          <cell r="AB28">
            <v>-27.5</v>
          </cell>
          <cell r="AC28">
            <v>0</v>
          </cell>
          <cell r="AD28">
            <v>-46.3917525773196</v>
          </cell>
          <cell r="AE28">
            <v>-26.938537136990401</v>
          </cell>
          <cell r="AF28">
            <v>-18.199555445789098</v>
          </cell>
          <cell r="AG28">
            <v>-63.207798742138401</v>
          </cell>
          <cell r="AH28">
            <v>-15418.9864871792</v>
          </cell>
        </row>
        <row r="41">
          <cell r="B41">
            <v>1</v>
          </cell>
          <cell r="C41" t="str">
            <v>OA=OA005</v>
          </cell>
          <cell r="D41" t="str">
            <v>OA=OA006</v>
          </cell>
          <cell r="E41" t="str">
            <v>OA=OA010</v>
          </cell>
          <cell r="F41" t="str">
            <v>OA=OA011</v>
          </cell>
          <cell r="G41" t="str">
            <v>OA=OA015</v>
          </cell>
          <cell r="H41" t="str">
            <v>OA=OA016</v>
          </cell>
          <cell r="I41" t="str">
            <v>OA=OA017</v>
          </cell>
          <cell r="J41" t="str">
            <v>OA=OA020</v>
          </cell>
          <cell r="K41" t="str">
            <v>OA=OA021</v>
          </cell>
          <cell r="L41" t="str">
            <v>OA=OA022</v>
          </cell>
          <cell r="M41" t="str">
            <v>OA=OA030</v>
          </cell>
          <cell r="N41" t="str">
            <v>OA=OA031</v>
          </cell>
          <cell r="O41" t="str">
            <v>OA=OA035</v>
          </cell>
          <cell r="P41" t="str">
            <v>OA=OA036</v>
          </cell>
          <cell r="Q41" t="str">
            <v>OA=OA040</v>
          </cell>
          <cell r="R41" t="str">
            <v>OA=OA041</v>
          </cell>
          <cell r="S41" t="str">
            <v>OA=OA060</v>
          </cell>
          <cell r="T41" t="str">
            <v>OA=OA061</v>
          </cell>
          <cell r="U41" t="str">
            <v>OA sum AR001</v>
          </cell>
        </row>
        <row r="42">
          <cell r="B42">
            <v>2</v>
          </cell>
        </row>
        <row r="43">
          <cell r="A43" t="str">
            <v>AC=GR2000</v>
          </cell>
          <cell r="B43">
            <v>3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-910.101</v>
          </cell>
          <cell r="H43">
            <v>-80.692999999999998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-294.291</v>
          </cell>
          <cell r="N43">
            <v>-77.198999999999998</v>
          </cell>
          <cell r="O43">
            <v>0</v>
          </cell>
          <cell r="P43">
            <v>-75.27</v>
          </cell>
          <cell r="Q43">
            <v>-797.59504800000002</v>
          </cell>
          <cell r="R43">
            <v>-757.81500000000005</v>
          </cell>
          <cell r="S43">
            <v>-249.752916</v>
          </cell>
          <cell r="T43">
            <v>-208.76400000000001</v>
          </cell>
          <cell r="U43">
            <v>-3451.4809639999999</v>
          </cell>
        </row>
        <row r="116">
          <cell r="B116">
            <v>1</v>
          </cell>
          <cell r="C116" t="str">
            <v>OA=OA040</v>
          </cell>
        </row>
        <row r="117">
          <cell r="B117">
            <v>2</v>
          </cell>
        </row>
        <row r="118">
          <cell r="A118" t="str">
            <v>AC=GR2000</v>
          </cell>
          <cell r="B118">
            <v>3</v>
          </cell>
          <cell r="C118">
            <v>-5.5110000000000001</v>
          </cell>
        </row>
        <row r="131">
          <cell r="B131">
            <v>1</v>
          </cell>
          <cell r="C131" t="str">
            <v>OA=OA005</v>
          </cell>
          <cell r="D131" t="str">
            <v>OA=OA010</v>
          </cell>
          <cell r="E131" t="str">
            <v>OA=OA011</v>
          </cell>
          <cell r="F131" t="str">
            <v>OA=OA021</v>
          </cell>
          <cell r="G131" t="str">
            <v>OA sum AR012</v>
          </cell>
          <cell r="H131" t="str">
            <v>OA=OA030</v>
          </cell>
          <cell r="I131" t="str">
            <v>OA=OA040</v>
          </cell>
          <cell r="J131" t="str">
            <v>OA=OA060</v>
          </cell>
        </row>
        <row r="132">
          <cell r="B132">
            <v>2</v>
          </cell>
        </row>
        <row r="133">
          <cell r="A133" t="str">
            <v>AC=GR2000</v>
          </cell>
          <cell r="B133">
            <v>3</v>
          </cell>
          <cell r="C133">
            <v>0</v>
          </cell>
          <cell r="D133">
            <v>-126.17700000000001</v>
          </cell>
          <cell r="E133">
            <v>-70.915000000000006</v>
          </cell>
          <cell r="F133">
            <v>-50.509</v>
          </cell>
          <cell r="G133">
            <v>-247.601</v>
          </cell>
          <cell r="H133">
            <v>-141.15</v>
          </cell>
          <cell r="I133">
            <v>-34.174999999999997</v>
          </cell>
          <cell r="J133">
            <v>-326.50200000000001</v>
          </cell>
        </row>
      </sheetData>
      <sheetData sheetId="3" refreshError="1">
        <row r="11">
          <cell r="B11">
            <v>1</v>
          </cell>
          <cell r="C11" t="str">
            <v>OA=OA005</v>
          </cell>
          <cell r="D11" t="str">
            <v>OA=OA006</v>
          </cell>
          <cell r="E11" t="str">
            <v>OA=OA010</v>
          </cell>
          <cell r="F11" t="str">
            <v>OA=OA011</v>
          </cell>
          <cell r="G11" t="str">
            <v>OA=OA015</v>
          </cell>
          <cell r="H11" t="str">
            <v>OA=OA016</v>
          </cell>
          <cell r="I11" t="str">
            <v>OA=OA017</v>
          </cell>
          <cell r="J11" t="str">
            <v>OA=OA020</v>
          </cell>
          <cell r="K11" t="str">
            <v>OA=OA021</v>
          </cell>
          <cell r="L11" t="str">
            <v>OA=OA022</v>
          </cell>
          <cell r="M11" t="str">
            <v>OA=OA030</v>
          </cell>
          <cell r="N11" t="str">
            <v>OA=OA031</v>
          </cell>
          <cell r="O11" t="str">
            <v>OA=OA035</v>
          </cell>
          <cell r="P11" t="str">
            <v>OA=OA036</v>
          </cell>
          <cell r="Q11" t="str">
            <v>OA=OA040</v>
          </cell>
          <cell r="R11" t="str">
            <v>OA=OA041</v>
          </cell>
          <cell r="S11" t="str">
            <v>OA=OA060</v>
          </cell>
          <cell r="T11" t="str">
            <v>OA=OA061</v>
          </cell>
          <cell r="U11" t="str">
            <v>OA sum AR001</v>
          </cell>
        </row>
        <row r="12">
          <cell r="B12">
            <v>2</v>
          </cell>
        </row>
        <row r="13">
          <cell r="A13" t="str">
            <v>AC=GR2000</v>
          </cell>
          <cell r="B13">
            <v>3</v>
          </cell>
          <cell r="C13">
            <v>-526.14800000000002</v>
          </cell>
          <cell r="D13">
            <v>0</v>
          </cell>
          <cell r="E13">
            <v>-5813.6122812610201</v>
          </cell>
          <cell r="F13">
            <v>-1278.7770152472799</v>
          </cell>
          <cell r="G13">
            <v>-606.90300000000002</v>
          </cell>
          <cell r="H13">
            <v>-21.675858000000002</v>
          </cell>
          <cell r="I13">
            <v>0</v>
          </cell>
          <cell r="J13">
            <v>-399.42023553038803</v>
          </cell>
          <cell r="K13">
            <v>-446.16577904092401</v>
          </cell>
          <cell r="L13">
            <v>-3.70990340439397</v>
          </cell>
          <cell r="M13">
            <v>-661.59163249686799</v>
          </cell>
          <cell r="N13">
            <v>-41.762</v>
          </cell>
          <cell r="O13">
            <v>0</v>
          </cell>
          <cell r="P13">
            <v>-134.20099999999999</v>
          </cell>
          <cell r="Q13">
            <v>-1170.354</v>
          </cell>
          <cell r="R13">
            <v>-751.95</v>
          </cell>
          <cell r="S13">
            <v>-551.674417142283</v>
          </cell>
          <cell r="T13">
            <v>-170.03562410084299</v>
          </cell>
          <cell r="U13">
            <v>-12577.980746224001</v>
          </cell>
        </row>
        <row r="26">
          <cell r="B26">
            <v>1</v>
          </cell>
          <cell r="C26" t="str">
            <v>RU=GT-TUT</v>
          </cell>
          <cell r="D26" t="str">
            <v>RU=GT-FPBNPPI</v>
          </cell>
          <cell r="E26" t="str">
            <v>RU=GT-FPAR</v>
          </cell>
          <cell r="F26" t="str">
            <v>RU=G-CENTRAL</v>
          </cell>
          <cell r="G26" t="str">
            <v>RU=G-HDBNPPI</v>
          </cell>
          <cell r="H26" t="str">
            <v>RU=G-FRMP</v>
          </cell>
          <cell r="I26" t="str">
            <v>RU=G-HDAR</v>
          </cell>
          <cell r="J26" t="str">
            <v>RU=G-FRAR</v>
          </cell>
          <cell r="K26" t="str">
            <v>RU=G-UK</v>
          </cell>
          <cell r="L26" t="str">
            <v>RU=G-DE</v>
          </cell>
          <cell r="M26" t="str">
            <v>RU=G-SP</v>
          </cell>
          <cell r="N26" t="str">
            <v>RU=G-BE</v>
          </cell>
          <cell r="O26" t="str">
            <v>RU=G-LX</v>
          </cell>
          <cell r="P26" t="str">
            <v>RU=G-ITAR</v>
          </cell>
          <cell r="Q26" t="str">
            <v>RU=G-IR</v>
          </cell>
          <cell r="R26" t="str">
            <v>RU=G-US</v>
          </cell>
          <cell r="S26" t="str">
            <v>RU=G-ITBNL</v>
          </cell>
          <cell r="T26" t="str">
            <v>RU=G-ITNAZCA</v>
          </cell>
          <cell r="U26" t="str">
            <v>RU=G-ITMP</v>
          </cell>
          <cell r="V26" t="str">
            <v>RU=G-ABU</v>
          </cell>
          <cell r="W26" t="str">
            <v>RU=G-GULF</v>
          </cell>
          <cell r="X26" t="str">
            <v>RU=G-JER</v>
          </cell>
          <cell r="Y26" t="str">
            <v>RU=G-ROM</v>
          </cell>
          <cell r="Z26" t="str">
            <v>RU=G-IND</v>
          </cell>
          <cell r="AA26" t="str">
            <v>RU=G-ABER</v>
          </cell>
          <cell r="AB26" t="str">
            <v>RU=G-REIMLUX</v>
          </cell>
          <cell r="AC26" t="str">
            <v>RU=G-REIMSP</v>
          </cell>
          <cell r="AD26" t="str">
            <v>RU=G-UKPROMO</v>
          </cell>
          <cell r="AE26" t="str">
            <v>RU=G-HUN</v>
          </cell>
          <cell r="AF26" t="str">
            <v>RU=G-TCH</v>
          </cell>
          <cell r="AG26" t="str">
            <v>RU=G-POL</v>
          </cell>
          <cell r="AH26" t="str">
            <v>RU sum AF00100</v>
          </cell>
        </row>
        <row r="27">
          <cell r="B27">
            <v>2</v>
          </cell>
        </row>
        <row r="28">
          <cell r="A28" t="str">
            <v>AC=GR2000</v>
          </cell>
          <cell r="B28">
            <v>3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-526.14800000000002</v>
          </cell>
          <cell r="H28">
            <v>-3208.2018579999999</v>
          </cell>
          <cell r="I28">
            <v>0</v>
          </cell>
          <cell r="J28">
            <v>-4871.4790000000003</v>
          </cell>
          <cell r="K28">
            <v>-106.31232185542</v>
          </cell>
          <cell r="L28">
            <v>-2443.3209999999999</v>
          </cell>
          <cell r="M28">
            <v>-459.81799999999998</v>
          </cell>
          <cell r="N28">
            <v>-197.77199999999999</v>
          </cell>
          <cell r="O28">
            <v>-50.77</v>
          </cell>
          <cell r="P28">
            <v>-81.34</v>
          </cell>
          <cell r="Q28">
            <v>-16</v>
          </cell>
          <cell r="R28">
            <v>0</v>
          </cell>
          <cell r="S28">
            <v>-360.34</v>
          </cell>
          <cell r="T28">
            <v>-126.28</v>
          </cell>
          <cell r="U28">
            <v>-65.400000000000006</v>
          </cell>
          <cell r="V28">
            <v>-10.935893716668801</v>
          </cell>
          <cell r="W28">
            <v>-10.935893716668801</v>
          </cell>
          <cell r="X28">
            <v>0</v>
          </cell>
          <cell r="Y28">
            <v>0.92624802162610398</v>
          </cell>
          <cell r="Z28">
            <v>-20.853026956864401</v>
          </cell>
          <cell r="AA28">
            <v>0</v>
          </cell>
          <cell r="AB28">
            <v>-23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-12577.980746224001</v>
          </cell>
        </row>
        <row r="41">
          <cell r="B41">
            <v>1</v>
          </cell>
          <cell r="C41" t="str">
            <v>OA=OA005</v>
          </cell>
          <cell r="D41" t="str">
            <v>OA=OA006</v>
          </cell>
          <cell r="E41" t="str">
            <v>OA=OA010</v>
          </cell>
          <cell r="F41" t="str">
            <v>OA=OA011</v>
          </cell>
          <cell r="G41" t="str">
            <v>OA=OA015</v>
          </cell>
          <cell r="H41" t="str">
            <v>OA=OA016</v>
          </cell>
          <cell r="I41" t="str">
            <v>OA=OA017</v>
          </cell>
          <cell r="J41" t="str">
            <v>OA=OA020</v>
          </cell>
          <cell r="K41" t="str">
            <v>OA=OA021</v>
          </cell>
          <cell r="L41" t="str">
            <v>OA=OA022</v>
          </cell>
          <cell r="M41" t="str">
            <v>OA=OA030</v>
          </cell>
          <cell r="N41" t="str">
            <v>OA=OA031</v>
          </cell>
          <cell r="O41" t="str">
            <v>OA=OA035</v>
          </cell>
          <cell r="P41" t="str">
            <v>OA=OA036</v>
          </cell>
          <cell r="Q41" t="str">
            <v>OA=OA040</v>
          </cell>
          <cell r="R41" t="str">
            <v>OA=OA041</v>
          </cell>
          <cell r="S41" t="str">
            <v>OA=OA060</v>
          </cell>
          <cell r="T41" t="str">
            <v>OA=OA061</v>
          </cell>
          <cell r="U41" t="str">
            <v>OA sum AR001</v>
          </cell>
        </row>
        <row r="42">
          <cell r="B42">
            <v>2</v>
          </cell>
        </row>
        <row r="43">
          <cell r="A43" t="str">
            <v>AC=GR2000</v>
          </cell>
          <cell r="B43">
            <v>3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-540.20799999999997</v>
          </cell>
          <cell r="H43">
            <v>-21.675858000000002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-313.839</v>
          </cell>
          <cell r="N43">
            <v>-41.762</v>
          </cell>
          <cell r="O43">
            <v>0</v>
          </cell>
          <cell r="P43">
            <v>-134.20099999999999</v>
          </cell>
          <cell r="Q43">
            <v>-1074.934</v>
          </cell>
          <cell r="R43">
            <v>-751.95</v>
          </cell>
          <cell r="S43">
            <v>-161.72</v>
          </cell>
          <cell r="T43">
            <v>-167.91200000000001</v>
          </cell>
          <cell r="U43">
            <v>-3208.2018579999999</v>
          </cell>
        </row>
        <row r="56">
          <cell r="B56">
            <v>1</v>
          </cell>
          <cell r="C56" t="str">
            <v>OA=OA005</v>
          </cell>
          <cell r="D56" t="str">
            <v>OA=OA006</v>
          </cell>
          <cell r="E56" t="str">
            <v>OA=OA010</v>
          </cell>
          <cell r="F56" t="str">
            <v>OA=OA011</v>
          </cell>
          <cell r="G56" t="str">
            <v>OA=OA015</v>
          </cell>
          <cell r="H56" t="str">
            <v>OA=OA016</v>
          </cell>
          <cell r="I56" t="str">
            <v>OA=OA017</v>
          </cell>
          <cell r="J56" t="str">
            <v>OA=OA020</v>
          </cell>
          <cell r="K56" t="str">
            <v>OA=OA021</v>
          </cell>
          <cell r="L56" t="str">
            <v>OA=OA022</v>
          </cell>
          <cell r="M56" t="str">
            <v>OA=OA030</v>
          </cell>
          <cell r="N56" t="str">
            <v>OA=OA031</v>
          </cell>
          <cell r="O56" t="str">
            <v>OA=OA035</v>
          </cell>
          <cell r="P56" t="str">
            <v>OA=OA036</v>
          </cell>
          <cell r="Q56" t="str">
            <v>OA=OA040</v>
          </cell>
          <cell r="R56" t="str">
            <v>OA=OA041</v>
          </cell>
          <cell r="S56" t="str">
            <v>OA=OA060</v>
          </cell>
          <cell r="T56" t="str">
            <v>OA=OA061</v>
          </cell>
          <cell r="U56" t="str">
            <v>OA sum AR001</v>
          </cell>
        </row>
        <row r="57">
          <cell r="B57">
            <v>2</v>
          </cell>
        </row>
        <row r="58">
          <cell r="A58" t="str">
            <v>AC=GR2000</v>
          </cell>
          <cell r="B58">
            <v>3</v>
          </cell>
          <cell r="C58">
            <v>0</v>
          </cell>
          <cell r="D58">
            <v>0</v>
          </cell>
          <cell r="E58">
            <v>-201.96700000000001</v>
          </cell>
          <cell r="F58">
            <v>-29.658000000000001</v>
          </cell>
          <cell r="G58">
            <v>-66.694999999999993</v>
          </cell>
          <cell r="H58">
            <v>0</v>
          </cell>
          <cell r="I58">
            <v>0</v>
          </cell>
          <cell r="J58">
            <v>0</v>
          </cell>
          <cell r="K58">
            <v>-120.081</v>
          </cell>
          <cell r="L58">
            <v>0</v>
          </cell>
          <cell r="M58">
            <v>-41.417000000000002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-459.81799999999998</v>
          </cell>
        </row>
        <row r="73">
          <cell r="C73" t="str">
            <v>RU=G-ABER</v>
          </cell>
          <cell r="D73" t="str">
            <v>RU=G-ABU</v>
          </cell>
          <cell r="E73" t="str">
            <v>RU=G-BE</v>
          </cell>
          <cell r="F73" t="str">
            <v>RU=G-CENTRAL</v>
          </cell>
          <cell r="G73" t="str">
            <v>RU=G-DE</v>
          </cell>
          <cell r="H73" t="str">
            <v>RU=G-FRAR</v>
          </cell>
          <cell r="I73" t="str">
            <v>RU=G-FRMP</v>
          </cell>
          <cell r="J73" t="str">
            <v>RU=G-FULPEI</v>
          </cell>
          <cell r="K73" t="str">
            <v>RU=G-GULF</v>
          </cell>
          <cell r="L73" t="str">
            <v>RU=G-HDAR</v>
          </cell>
          <cell r="M73" t="str">
            <v>RU=G-HDBNPPI</v>
          </cell>
          <cell r="N73" t="str">
            <v>RU=G-IND</v>
          </cell>
          <cell r="O73" t="str">
            <v>RU=G-IR</v>
          </cell>
          <cell r="P73" t="str">
            <v>RU=G-ITAR</v>
          </cell>
          <cell r="Q73" t="str">
            <v>RU=G-ITBNL</v>
          </cell>
          <cell r="R73" t="str">
            <v>RU=G-ITMP</v>
          </cell>
          <cell r="S73" t="str">
            <v>RU=G-ITNAZCA</v>
          </cell>
          <cell r="T73" t="str">
            <v>RU=G-JER</v>
          </cell>
          <cell r="U73" t="str">
            <v>RU=G-LX</v>
          </cell>
          <cell r="V73" t="str">
            <v>RU=G-NL</v>
          </cell>
          <cell r="W73" t="str">
            <v>RU=G-ROM</v>
          </cell>
          <cell r="X73" t="str">
            <v>RU=G-SP</v>
          </cell>
          <cell r="Y73" t="str">
            <v>RU=G-SPGE</v>
          </cell>
          <cell r="Z73" t="str">
            <v>RU=G-ABER</v>
          </cell>
          <cell r="AA73" t="str">
            <v>RU=G-UK</v>
          </cell>
          <cell r="AB73" t="str">
            <v>RU=G-US</v>
          </cell>
          <cell r="AC73" t="str">
            <v>RU=GT-BALE2</v>
          </cell>
          <cell r="AD73" t="str">
            <v>RU=GT-FPAR</v>
          </cell>
          <cell r="AE73" t="str">
            <v>RU=GT-FPBNPPI</v>
          </cell>
          <cell r="AF73" t="str">
            <v>RU=G-ABER</v>
          </cell>
          <cell r="AG73" t="str">
            <v>RU=GT-TUT</v>
          </cell>
          <cell r="AH73" t="str">
            <v>RU=G-REIMLUX</v>
          </cell>
          <cell r="AI73" t="str">
            <v>RU=G-REIMSP</v>
          </cell>
          <cell r="AJ73" t="str">
            <v>RU=G-UKPROMO</v>
          </cell>
          <cell r="AK73" t="str">
            <v>RU=G-HUN</v>
          </cell>
          <cell r="AL73" t="str">
            <v>RU=G-TCH</v>
          </cell>
          <cell r="AM73" t="str">
            <v>RU=G-POL</v>
          </cell>
        </row>
        <row r="75">
          <cell r="C75">
            <v>0</v>
          </cell>
          <cell r="D75">
            <v>0</v>
          </cell>
          <cell r="E75">
            <v>-58.993000000000002</v>
          </cell>
          <cell r="F75">
            <v>0</v>
          </cell>
          <cell r="G75">
            <v>-97.534999999999997</v>
          </cell>
          <cell r="H75">
            <v>0</v>
          </cell>
          <cell r="I75">
            <v>-313.839</v>
          </cell>
          <cell r="J75">
            <v>0</v>
          </cell>
          <cell r="K75">
            <v>0</v>
          </cell>
          <cell r="L75">
            <v>0</v>
          </cell>
          <cell r="M75">
            <v>5.5511151231257802E-17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-126.28</v>
          </cell>
          <cell r="T75">
            <v>0</v>
          </cell>
          <cell r="U75">
            <v>-19.751000000000001</v>
          </cell>
          <cell r="V75">
            <v>0</v>
          </cell>
          <cell r="W75">
            <v>0</v>
          </cell>
          <cell r="X75">
            <v>-41.417000000000002</v>
          </cell>
          <cell r="Y75">
            <v>0</v>
          </cell>
          <cell r="Z75">
            <v>0</v>
          </cell>
          <cell r="AA75">
            <v>-3.7766324968680798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105">
          <cell r="C105" t="str">
            <v>RU=G-ABER</v>
          </cell>
          <cell r="D105" t="str">
            <v>RU=G-ABU</v>
          </cell>
          <cell r="E105" t="str">
            <v>RU=G-BE</v>
          </cell>
          <cell r="F105" t="str">
            <v>RU=G-CENTRAL</v>
          </cell>
          <cell r="G105" t="str">
            <v>RU=G-DE</v>
          </cell>
          <cell r="H105" t="str">
            <v>RU=G-FRAR</v>
          </cell>
          <cell r="I105" t="str">
            <v>RU=G-FRMP</v>
          </cell>
          <cell r="J105" t="str">
            <v>RU=G-FULPEI</v>
          </cell>
          <cell r="K105" t="str">
            <v>RU=G-GULF</v>
          </cell>
          <cell r="L105" t="str">
            <v>RU=G-HDAR</v>
          </cell>
          <cell r="M105" t="str">
            <v>RU=G-HDBNPPI</v>
          </cell>
          <cell r="N105" t="str">
            <v>RU=G-IND</v>
          </cell>
          <cell r="O105" t="str">
            <v>RU=G-IR</v>
          </cell>
          <cell r="P105" t="str">
            <v>RU=G-ITAR</v>
          </cell>
          <cell r="Q105" t="str">
            <v>RU=G-ITBNL</v>
          </cell>
          <cell r="R105" t="str">
            <v>RU=G-ITMP</v>
          </cell>
          <cell r="S105" t="str">
            <v>RU=G-ITNAZCA</v>
          </cell>
          <cell r="T105" t="str">
            <v>RU=G-JER</v>
          </cell>
          <cell r="U105" t="str">
            <v>RU=G-LX</v>
          </cell>
          <cell r="V105" t="str">
            <v>RU=G-NL</v>
          </cell>
          <cell r="W105" t="str">
            <v>RU=G-ROM</v>
          </cell>
          <cell r="X105" t="str">
            <v>RU=G-SP</v>
          </cell>
          <cell r="Y105" t="str">
            <v>RU=G-SPGE</v>
          </cell>
          <cell r="Z105" t="str">
            <v>RU=G-ABER</v>
          </cell>
          <cell r="AA105" t="str">
            <v>RU=G-UK</v>
          </cell>
          <cell r="AB105" t="str">
            <v>RU=G-US</v>
          </cell>
          <cell r="AC105" t="str">
            <v>RU=GT-BALE2</v>
          </cell>
          <cell r="AD105" t="str">
            <v>RU=GT-FPAR</v>
          </cell>
          <cell r="AE105" t="str">
            <v>RU=GT-FPBNPPI</v>
          </cell>
          <cell r="AF105" t="str">
            <v>RU=G-ABER</v>
          </cell>
          <cell r="AG105" t="str">
            <v>RU=G-REIMLUX</v>
          </cell>
          <cell r="AH105" t="str">
            <v>RU=G-REIMSP</v>
          </cell>
          <cell r="AI105" t="str">
            <v>RU=G-UKPROMO</v>
          </cell>
          <cell r="AJ105" t="str">
            <v>RU=G-HUN</v>
          </cell>
          <cell r="AK105" t="str">
            <v>RU=G-TCH</v>
          </cell>
          <cell r="AL105" t="str">
            <v>RU=G-POL</v>
          </cell>
          <cell r="AM105" t="str">
            <v>RU sum AF00100</v>
          </cell>
        </row>
        <row r="107">
          <cell r="A107" t="str">
            <v>AC=GR2000</v>
          </cell>
          <cell r="C107">
            <v>0</v>
          </cell>
          <cell r="D107">
            <v>0</v>
          </cell>
          <cell r="E107">
            <v>-6.056</v>
          </cell>
          <cell r="F107">
            <v>0</v>
          </cell>
          <cell r="G107">
            <v>0</v>
          </cell>
          <cell r="H107">
            <v>0</v>
          </cell>
          <cell r="I107">
            <v>-329.63200000000001</v>
          </cell>
          <cell r="J107">
            <v>0</v>
          </cell>
          <cell r="K107">
            <v>0</v>
          </cell>
          <cell r="L107">
            <v>0</v>
          </cell>
          <cell r="M107">
            <v>8.7187201902594293E-15</v>
          </cell>
          <cell r="N107">
            <v>0</v>
          </cell>
          <cell r="O107">
            <v>0</v>
          </cell>
          <cell r="P107">
            <v>0</v>
          </cell>
          <cell r="Q107">
            <v>-360.34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-2.6820412431260898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-23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-721.71004124312606</v>
          </cell>
          <cell r="AN107">
            <v>0</v>
          </cell>
        </row>
      </sheetData>
      <sheetData sheetId="4" refreshError="1">
        <row r="138">
          <cell r="B138">
            <v>1</v>
          </cell>
          <cell r="C138" t="str">
            <v>OA=OA040</v>
          </cell>
        </row>
        <row r="139">
          <cell r="B139">
            <v>2</v>
          </cell>
        </row>
        <row r="140">
          <cell r="A140" t="str">
            <v>AC=GR2000</v>
          </cell>
          <cell r="B140">
            <v>3</v>
          </cell>
          <cell r="C140">
            <v>0</v>
          </cell>
        </row>
        <row r="153">
          <cell r="B153">
            <v>1</v>
          </cell>
          <cell r="C153" t="str">
            <v>OA=OA005</v>
          </cell>
          <cell r="D153" t="str">
            <v>OA=OA010</v>
          </cell>
          <cell r="E153" t="str">
            <v>OA=OA011</v>
          </cell>
          <cell r="F153" t="str">
            <v>OA=OA021</v>
          </cell>
          <cell r="G153" t="str">
            <v>OA sum AR012</v>
          </cell>
          <cell r="H153" t="str">
            <v>OA=OA030</v>
          </cell>
          <cell r="I153" t="str">
            <v>OA=OA040</v>
          </cell>
          <cell r="J153" t="str">
            <v>OA=OA060</v>
          </cell>
        </row>
        <row r="154">
          <cell r="B154">
            <v>2</v>
          </cell>
        </row>
        <row r="155">
          <cell r="A155" t="str">
            <v>AC=GR2000</v>
          </cell>
          <cell r="B155">
            <v>3</v>
          </cell>
          <cell r="C155">
            <v>0</v>
          </cell>
          <cell r="D155">
            <v>-83.546999999999997</v>
          </cell>
          <cell r="E155">
            <v>-53.01</v>
          </cell>
          <cell r="F155">
            <v>-20.484000000000002</v>
          </cell>
          <cell r="G155">
            <v>-157.041</v>
          </cell>
          <cell r="H155">
            <v>-136.24</v>
          </cell>
          <cell r="I155">
            <v>-74.599999999999994</v>
          </cell>
          <cell r="J155">
            <v>-321.64999999999998</v>
          </cell>
        </row>
      </sheetData>
      <sheetData sheetId="5" refreshError="1">
        <row r="41">
          <cell r="B41">
            <v>1</v>
          </cell>
          <cell r="C41" t="str">
            <v>RU=GT-TUT</v>
          </cell>
          <cell r="D41" t="str">
            <v>RU=GT-FPBNPPI</v>
          </cell>
          <cell r="E41" t="str">
            <v>RU=GT-FPAR</v>
          </cell>
          <cell r="F41" t="str">
            <v>RU=G-CENTRAL</v>
          </cell>
          <cell r="G41" t="str">
            <v>RU=G-HDBNPPI</v>
          </cell>
          <cell r="H41" t="str">
            <v>RU=G-FRMP</v>
          </cell>
          <cell r="I41" t="str">
            <v>RU=G-HDAR</v>
          </cell>
          <cell r="J41" t="str">
            <v>RU=G-FRAR</v>
          </cell>
          <cell r="K41" t="str">
            <v>RU=G-UK</v>
          </cell>
          <cell r="L41" t="str">
            <v>RU=G-DE</v>
          </cell>
          <cell r="M41" t="str">
            <v>RU=G-SP</v>
          </cell>
          <cell r="N41" t="str">
            <v>RU=G-BE</v>
          </cell>
          <cell r="O41" t="str">
            <v>RU=G-LX</v>
          </cell>
          <cell r="P41" t="str">
            <v>RU=G-ITAR</v>
          </cell>
          <cell r="Q41" t="str">
            <v>RU=G-IR</v>
          </cell>
          <cell r="R41" t="str">
            <v>RU=G-US</v>
          </cell>
          <cell r="S41" t="str">
            <v>RU=G-ITBNL</v>
          </cell>
          <cell r="T41" t="str">
            <v>RU=G-ITNAZCA</v>
          </cell>
          <cell r="U41" t="str">
            <v>RU=G-ITMP</v>
          </cell>
          <cell r="V41" t="str">
            <v>RU=G-ABU</v>
          </cell>
          <cell r="W41" t="str">
            <v>RU=G-GULF</v>
          </cell>
          <cell r="X41" t="str">
            <v>RU=G-JER</v>
          </cell>
          <cell r="Y41" t="str">
            <v>RU=G-ROM</v>
          </cell>
          <cell r="Z41" t="str">
            <v>RU=G-IND</v>
          </cell>
          <cell r="AA41" t="str">
            <v>RU=G-ABER</v>
          </cell>
          <cell r="AB41" t="str">
            <v>RU=G-REIMLUX</v>
          </cell>
          <cell r="AC41" t="str">
            <v>RU=G-REIMSP</v>
          </cell>
          <cell r="AD41" t="str">
            <v>RU=G-UKPROMO</v>
          </cell>
          <cell r="AE41" t="str">
            <v>RU=G-HUN</v>
          </cell>
          <cell r="AF41" t="str">
            <v>RU=G-TCH</v>
          </cell>
          <cell r="AG41" t="str">
            <v>RU=G-POL</v>
          </cell>
          <cell r="AH41" t="str">
            <v>RU sum AF00100</v>
          </cell>
        </row>
        <row r="42">
          <cell r="B42">
            <v>2</v>
          </cell>
        </row>
        <row r="43">
          <cell r="A43" t="str">
            <v>AC=GPNBSOC</v>
          </cell>
          <cell r="B43">
            <v>3</v>
          </cell>
          <cell r="C43">
            <v>32</v>
          </cell>
          <cell r="D43">
            <v>0</v>
          </cell>
          <cell r="E43">
            <v>0</v>
          </cell>
          <cell r="F43">
            <v>0</v>
          </cell>
          <cell r="G43">
            <v>304.60300000000001</v>
          </cell>
          <cell r="H43">
            <v>56808.131999999998</v>
          </cell>
          <cell r="I43">
            <v>0</v>
          </cell>
          <cell r="J43">
            <v>15860.3</v>
          </cell>
          <cell r="K43">
            <v>14506.7209061959</v>
          </cell>
          <cell r="L43">
            <v>14718.285</v>
          </cell>
          <cell r="M43">
            <v>4012.85</v>
          </cell>
          <cell r="N43">
            <v>2785.6350000000002</v>
          </cell>
          <cell r="O43">
            <v>479.233</v>
          </cell>
          <cell r="P43">
            <v>1333.0909999999999</v>
          </cell>
          <cell r="Q43">
            <v>334</v>
          </cell>
          <cell r="R43">
            <v>0</v>
          </cell>
          <cell r="S43">
            <v>5564.21</v>
          </cell>
          <cell r="T43">
            <v>2035.73</v>
          </cell>
          <cell r="U43">
            <v>874.31799999999998</v>
          </cell>
          <cell r="V43">
            <v>164.210695784677</v>
          </cell>
          <cell r="W43">
            <v>3.6249505154288899</v>
          </cell>
          <cell r="X43">
            <v>223.085892313447</v>
          </cell>
          <cell r="Y43">
            <v>121.083529750577</v>
          </cell>
          <cell r="Z43">
            <v>84.509210986503703</v>
          </cell>
          <cell r="AA43">
            <v>0</v>
          </cell>
          <cell r="AB43">
            <v>772</v>
          </cell>
          <cell r="AC43">
            <v>0</v>
          </cell>
          <cell r="AD43">
            <v>0</v>
          </cell>
          <cell r="AE43">
            <v>281.76277152523801</v>
          </cell>
          <cell r="AF43">
            <v>241.07633605014101</v>
          </cell>
          <cell r="AG43">
            <v>612.56324025850301</v>
          </cell>
          <cell r="AH43">
            <v>122153.02453338</v>
          </cell>
        </row>
        <row r="44">
          <cell r="A44" t="str">
            <v>AC=GFB001</v>
          </cell>
          <cell r="B44">
            <v>4</v>
          </cell>
          <cell r="C44">
            <v>32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32</v>
          </cell>
        </row>
        <row r="45">
          <cell r="A45" t="str">
            <v>AC=GFB002</v>
          </cell>
          <cell r="B45">
            <v>5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-1928.92</v>
          </cell>
        </row>
        <row r="46">
          <cell r="A46" t="str">
            <v>AC=GFB004</v>
          </cell>
          <cell r="B46">
            <v>6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1286</v>
          </cell>
        </row>
        <row r="47">
          <cell r="B47">
            <v>7</v>
          </cell>
        </row>
        <row r="48">
          <cell r="A48" t="str">
            <v>AC=GFDGHT</v>
          </cell>
          <cell r="B48">
            <v>8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-6483.19</v>
          </cell>
          <cell r="H48">
            <v>-27928.959857999998</v>
          </cell>
          <cell r="I48">
            <v>0</v>
          </cell>
          <cell r="J48">
            <v>-18027.708999999999</v>
          </cell>
          <cell r="K48">
            <v>-16545.551061477399</v>
          </cell>
          <cell r="L48">
            <v>-11766.293</v>
          </cell>
          <cell r="M48">
            <v>-4153.7700000000004</v>
          </cell>
          <cell r="N48">
            <v>-1847.528</v>
          </cell>
          <cell r="O48">
            <v>-610.98299999999995</v>
          </cell>
          <cell r="P48">
            <v>-1065.1089999999999</v>
          </cell>
          <cell r="Q48">
            <v>-539</v>
          </cell>
          <cell r="R48">
            <v>0</v>
          </cell>
          <cell r="S48">
            <v>-2945.73</v>
          </cell>
          <cell r="T48">
            <v>-1819.74</v>
          </cell>
          <cell r="U48">
            <v>-809.56600000000003</v>
          </cell>
          <cell r="V48">
            <v>-86.757626205233095</v>
          </cell>
          <cell r="W48">
            <v>-87.920310541746204</v>
          </cell>
          <cell r="X48">
            <v>-152.03696911601301</v>
          </cell>
          <cell r="Y48">
            <v>-154.20051005206199</v>
          </cell>
          <cell r="Z48">
            <v>-275.14701874070897</v>
          </cell>
          <cell r="AA48">
            <v>0</v>
          </cell>
          <cell r="AB48">
            <v>-601</v>
          </cell>
          <cell r="AC48">
            <v>0</v>
          </cell>
          <cell r="AD48">
            <v>0</v>
          </cell>
          <cell r="AE48">
            <v>-249.60065364174801</v>
          </cell>
          <cell r="AF48">
            <v>-191.029065167125</v>
          </cell>
          <cell r="AG48">
            <v>-521.77459327689803</v>
          </cell>
          <cell r="AH48">
            <v>-96862.595666218898</v>
          </cell>
        </row>
        <row r="49">
          <cell r="A49" t="str">
            <v>AC=GFB005</v>
          </cell>
          <cell r="B49">
            <v>9</v>
          </cell>
          <cell r="C49">
            <v>-4918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-151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-5069</v>
          </cell>
        </row>
        <row r="50">
          <cell r="A50" t="str">
            <v>AC=GFB006</v>
          </cell>
          <cell r="B50">
            <v>10</v>
          </cell>
          <cell r="C50">
            <v>-216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-216</v>
          </cell>
        </row>
        <row r="51">
          <cell r="B51">
            <v>11</v>
          </cell>
        </row>
        <row r="52">
          <cell r="A52" t="str">
            <v>AC=GR5000</v>
          </cell>
          <cell r="B52">
            <v>12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-3.0319999999999898</v>
          </cell>
          <cell r="I52">
            <v>0</v>
          </cell>
          <cell r="J52">
            <v>-146.16</v>
          </cell>
          <cell r="K52">
            <v>-69.003735047394699</v>
          </cell>
          <cell r="L52">
            <v>-34.469000000000001</v>
          </cell>
          <cell r="M52">
            <v>167.50899999999999</v>
          </cell>
          <cell r="N52">
            <v>0</v>
          </cell>
          <cell r="O52">
            <v>0</v>
          </cell>
          <cell r="P52">
            <v>-13.6</v>
          </cell>
          <cell r="Q52">
            <v>0</v>
          </cell>
          <cell r="R52">
            <v>0</v>
          </cell>
          <cell r="S52">
            <v>-139.9</v>
          </cell>
          <cell r="T52">
            <v>-46.08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0.86629899387695997</v>
          </cell>
          <cell r="Z52">
            <v>-49.9181937365869</v>
          </cell>
          <cell r="AA52">
            <v>0</v>
          </cell>
          <cell r="AB52">
            <v>50</v>
          </cell>
          <cell r="AC52">
            <v>0</v>
          </cell>
          <cell r="AD52">
            <v>0</v>
          </cell>
          <cell r="AE52">
            <v>0</v>
          </cell>
          <cell r="AF52">
            <v>-4.6524420433817402E-2</v>
          </cell>
          <cell r="AG52">
            <v>0</v>
          </cell>
          <cell r="AH52">
            <v>-283.834154210539</v>
          </cell>
        </row>
        <row r="53">
          <cell r="A53" t="str">
            <v>AC=GR5300</v>
          </cell>
          <cell r="B53">
            <v>13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-22</v>
          </cell>
          <cell r="H53">
            <v>0</v>
          </cell>
          <cell r="I53">
            <v>0</v>
          </cell>
          <cell r="J53">
            <v>-8.8699999999999992</v>
          </cell>
          <cell r="K53">
            <v>0</v>
          </cell>
          <cell r="L53">
            <v>-5.0999999999999997E-2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-30.920999999999999</v>
          </cell>
        </row>
        <row r="54">
          <cell r="A54" t="str">
            <v>AC=GR5400</v>
          </cell>
          <cell r="B54">
            <v>14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9.8406754113199604</v>
          </cell>
          <cell r="AF54">
            <v>-52.3502296944894</v>
          </cell>
          <cell r="AG54">
            <v>-16.721084240360501</v>
          </cell>
          <cell r="AH54">
            <v>-59.230638523529997</v>
          </cell>
        </row>
        <row r="55">
          <cell r="B55">
            <v>15</v>
          </cell>
        </row>
        <row r="56">
          <cell r="A56" t="str">
            <v>AC=GRNAI2</v>
          </cell>
          <cell r="B56">
            <v>16</v>
          </cell>
          <cell r="C56">
            <v>32</v>
          </cell>
          <cell r="D56">
            <v>0</v>
          </cell>
          <cell r="E56">
            <v>0</v>
          </cell>
          <cell r="F56">
            <v>0</v>
          </cell>
          <cell r="G56">
            <v>-6200.5870000000004</v>
          </cell>
          <cell r="H56">
            <v>28876.140142</v>
          </cell>
          <cell r="I56">
            <v>0</v>
          </cell>
          <cell r="J56">
            <v>-2322.4389999999999</v>
          </cell>
          <cell r="K56">
            <v>-2107.83389032887</v>
          </cell>
          <cell r="L56">
            <v>2917.4720000000002</v>
          </cell>
          <cell r="M56">
            <v>26.588999999999899</v>
          </cell>
          <cell r="N56">
            <v>938.10699999999997</v>
          </cell>
          <cell r="O56">
            <v>-131.75</v>
          </cell>
          <cell r="P56">
            <v>254.38200000000001</v>
          </cell>
          <cell r="Q56">
            <v>-205</v>
          </cell>
          <cell r="R56">
            <v>0</v>
          </cell>
          <cell r="S56">
            <v>2478.58</v>
          </cell>
          <cell r="T56">
            <v>169.91</v>
          </cell>
          <cell r="U56">
            <v>64.751999999999995</v>
          </cell>
          <cell r="V56">
            <v>77.453069579444403</v>
          </cell>
          <cell r="W56">
            <v>-84.295360026317297</v>
          </cell>
          <cell r="X56">
            <v>71.048923197434505</v>
          </cell>
          <cell r="Y56">
            <v>-32.250681307608701</v>
          </cell>
          <cell r="Z56">
            <v>-240.556001490792</v>
          </cell>
          <cell r="AA56">
            <v>0</v>
          </cell>
          <cell r="AB56">
            <v>221</v>
          </cell>
          <cell r="AC56">
            <v>0</v>
          </cell>
          <cell r="AD56">
            <v>0</v>
          </cell>
          <cell r="AE56">
            <v>42.0027932948094</v>
          </cell>
          <cell r="AF56">
            <v>-2.3494832319077701</v>
          </cell>
          <cell r="AG56">
            <v>74.067562741244402</v>
          </cell>
          <cell r="AH56">
            <v>24273.523074427401</v>
          </cell>
        </row>
        <row r="57">
          <cell r="A57" t="str">
            <v>AC=GRNAI</v>
          </cell>
          <cell r="B57">
            <v>17</v>
          </cell>
          <cell r="C57">
            <v>-5102</v>
          </cell>
          <cell r="D57">
            <v>0</v>
          </cell>
          <cell r="E57">
            <v>0</v>
          </cell>
          <cell r="F57">
            <v>0</v>
          </cell>
          <cell r="G57">
            <v>-6200.5870000000004</v>
          </cell>
          <cell r="H57">
            <v>28876.140142</v>
          </cell>
          <cell r="I57">
            <v>0</v>
          </cell>
          <cell r="J57">
            <v>-2322.4389999999999</v>
          </cell>
          <cell r="K57">
            <v>-2107.83389032887</v>
          </cell>
          <cell r="L57">
            <v>2917.4720000000002</v>
          </cell>
          <cell r="M57">
            <v>26.589000000000301</v>
          </cell>
          <cell r="N57">
            <v>938.10699999999997</v>
          </cell>
          <cell r="O57">
            <v>-131.75</v>
          </cell>
          <cell r="P57">
            <v>254.38200000000001</v>
          </cell>
          <cell r="Q57">
            <v>-205</v>
          </cell>
          <cell r="R57">
            <v>0</v>
          </cell>
          <cell r="S57">
            <v>2327.58</v>
          </cell>
          <cell r="T57">
            <v>169.91</v>
          </cell>
          <cell r="U57">
            <v>64.752000000000194</v>
          </cell>
          <cell r="V57">
            <v>77.453069579444403</v>
          </cell>
          <cell r="W57">
            <v>-84.295360026317297</v>
          </cell>
          <cell r="X57">
            <v>71.048923197434505</v>
          </cell>
          <cell r="Y57">
            <v>-32.250681307608701</v>
          </cell>
          <cell r="Z57">
            <v>-240.556001490792</v>
          </cell>
          <cell r="AA57">
            <v>0</v>
          </cell>
          <cell r="AB57">
            <v>221</v>
          </cell>
          <cell r="AC57">
            <v>0</v>
          </cell>
          <cell r="AD57">
            <v>0</v>
          </cell>
          <cell r="AE57">
            <v>42.0027932948094</v>
          </cell>
          <cell r="AF57">
            <v>-2.3494832319077998</v>
          </cell>
          <cell r="AG57">
            <v>74.067562741244501</v>
          </cell>
          <cell r="AH57">
            <v>18988.523074427401</v>
          </cell>
        </row>
        <row r="58">
          <cell r="A58" t="str">
            <v>RNAI hors Technique</v>
          </cell>
          <cell r="B58">
            <v>18</v>
          </cell>
          <cell r="C58">
            <v>32</v>
          </cell>
          <cell r="D58">
            <v>0</v>
          </cell>
          <cell r="E58">
            <v>0</v>
          </cell>
          <cell r="F58">
            <v>0</v>
          </cell>
          <cell r="G58">
            <v>-6200.5869999999995</v>
          </cell>
          <cell r="H58">
            <v>28876.140142</v>
          </cell>
          <cell r="I58">
            <v>0</v>
          </cell>
          <cell r="J58">
            <v>-2322.4389999999994</v>
          </cell>
          <cell r="K58">
            <v>-2107.8338903288941</v>
          </cell>
          <cell r="L58">
            <v>2917.4720000000002</v>
          </cell>
          <cell r="M58">
            <v>26.588999999999459</v>
          </cell>
          <cell r="N58">
            <v>938.1070000000002</v>
          </cell>
          <cell r="O58">
            <v>-131.74999999999994</v>
          </cell>
          <cell r="P58">
            <v>254.38199999999998</v>
          </cell>
          <cell r="Q58">
            <v>-205</v>
          </cell>
          <cell r="R58">
            <v>0</v>
          </cell>
          <cell r="S58">
            <v>2478.58</v>
          </cell>
          <cell r="T58">
            <v>169.91000000000003</v>
          </cell>
          <cell r="U58">
            <v>64.751999999999953</v>
          </cell>
          <cell r="V58">
            <v>77.453069579443905</v>
          </cell>
          <cell r="W58">
            <v>-84.295360026317312</v>
          </cell>
          <cell r="X58">
            <v>71.048923197433993</v>
          </cell>
          <cell r="Y58">
            <v>-32.250681307608026</v>
          </cell>
          <cell r="Z58">
            <v>-240.55600149079214</v>
          </cell>
          <cell r="AA58">
            <v>0</v>
          </cell>
          <cell r="AB58">
            <v>221</v>
          </cell>
          <cell r="AC58">
            <v>0</v>
          </cell>
          <cell r="AD58">
            <v>0</v>
          </cell>
          <cell r="AE58">
            <v>42.002793294809962</v>
          </cell>
          <cell r="AF58">
            <v>-2.3494832319072074</v>
          </cell>
          <cell r="AG58">
            <v>74.067562741244487</v>
          </cell>
          <cell r="AH58">
            <v>24916.443074427032</v>
          </cell>
        </row>
      </sheetData>
      <sheetData sheetId="6" refreshError="1">
        <row r="11">
          <cell r="B11">
            <v>1</v>
          </cell>
          <cell r="C11" t="str">
            <v>OA=OA005</v>
          </cell>
          <cell r="D11" t="str">
            <v>OA=OA006</v>
          </cell>
          <cell r="E11" t="str">
            <v>OA=OA010</v>
          </cell>
          <cell r="F11" t="str">
            <v>OA=OA011</v>
          </cell>
          <cell r="G11" t="str">
            <v>OA=OA015</v>
          </cell>
          <cell r="H11" t="str">
            <v>OA=OA016</v>
          </cell>
          <cell r="I11" t="str">
            <v>OA=OA017</v>
          </cell>
          <cell r="J11" t="str">
            <v>OA=OA020</v>
          </cell>
          <cell r="K11" t="str">
            <v>OA=OA021</v>
          </cell>
          <cell r="L11" t="str">
            <v>OA=OA022</v>
          </cell>
          <cell r="M11" t="str">
            <v>OA=OA030</v>
          </cell>
          <cell r="N11" t="str">
            <v>OA=OA031</v>
          </cell>
          <cell r="O11" t="str">
            <v>OA=OA035</v>
          </cell>
          <cell r="P11" t="str">
            <v>OA=OA036</v>
          </cell>
          <cell r="Q11" t="str">
            <v>OA=OA040</v>
          </cell>
          <cell r="R11" t="str">
            <v>OA=OA041</v>
          </cell>
          <cell r="S11" t="str">
            <v>OA=OA060</v>
          </cell>
          <cell r="T11" t="str">
            <v>OA=OA061</v>
          </cell>
          <cell r="U11" t="str">
            <v>OA sum AR001</v>
          </cell>
        </row>
        <row r="12">
          <cell r="B12">
            <v>2</v>
          </cell>
        </row>
        <row r="13">
          <cell r="A13" t="str">
            <v>AC=GPNBSOC</v>
          </cell>
          <cell r="B13">
            <v>3</v>
          </cell>
          <cell r="C13">
            <v>910.95600000000002</v>
          </cell>
          <cell r="D13">
            <v>-178.8</v>
          </cell>
          <cell r="E13">
            <v>31342.686277982801</v>
          </cell>
          <cell r="F13">
            <v>7933.61213489701</v>
          </cell>
          <cell r="G13">
            <v>5479.0985947690197</v>
          </cell>
          <cell r="H13">
            <v>204.315</v>
          </cell>
          <cell r="I13">
            <v>0</v>
          </cell>
          <cell r="J13">
            <v>5702.9363729369097</v>
          </cell>
          <cell r="K13">
            <v>7289.8520830989301</v>
          </cell>
          <cell r="L13">
            <v>2169.96698548222</v>
          </cell>
          <cell r="M13">
            <v>20092.504216011501</v>
          </cell>
          <cell r="N13">
            <v>88.248999999999995</v>
          </cell>
          <cell r="O13">
            <v>0</v>
          </cell>
          <cell r="P13">
            <v>2169.1529999999998</v>
          </cell>
          <cell r="Q13">
            <v>20858.024000000001</v>
          </cell>
          <cell r="R13">
            <v>20916.07</v>
          </cell>
          <cell r="S13">
            <v>12775.672556794299</v>
          </cell>
          <cell r="T13">
            <v>-115.73039687211801</v>
          </cell>
          <cell r="U13">
            <v>137638.56582510099</v>
          </cell>
        </row>
        <row r="14">
          <cell r="A14" t="str">
            <v>AC=GFB001</v>
          </cell>
          <cell r="B14">
            <v>4</v>
          </cell>
          <cell r="C14">
            <v>913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913</v>
          </cell>
        </row>
        <row r="15">
          <cell r="A15" t="str">
            <v>AC=GFB002</v>
          </cell>
          <cell r="B15">
            <v>5</v>
          </cell>
          <cell r="C15">
            <v>-1809.08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-1809.08</v>
          </cell>
        </row>
        <row r="16">
          <cell r="A16" t="str">
            <v>AC=GFB004</v>
          </cell>
          <cell r="B16">
            <v>6</v>
          </cell>
          <cell r="C16">
            <v>1451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1451</v>
          </cell>
        </row>
        <row r="17">
          <cell r="B17">
            <v>7</v>
          </cell>
        </row>
        <row r="18">
          <cell r="A18" t="str">
            <v>AC=GFDGHT</v>
          </cell>
          <cell r="B18">
            <v>8</v>
          </cell>
          <cell r="C18">
            <v>-9246.7939999999999</v>
          </cell>
          <cell r="D18">
            <v>0</v>
          </cell>
          <cell r="E18">
            <v>-27213.584069435699</v>
          </cell>
          <cell r="F18">
            <v>-6562.7084287171701</v>
          </cell>
          <cell r="G18">
            <v>-4782.9122072357904</v>
          </cell>
          <cell r="H18">
            <v>-173.701142</v>
          </cell>
          <cell r="I18">
            <v>0</v>
          </cell>
          <cell r="J18">
            <v>-6361.9041978701098</v>
          </cell>
          <cell r="K18">
            <v>-7128.4557804166698</v>
          </cell>
          <cell r="L18">
            <v>-1801.5605420997399</v>
          </cell>
          <cell r="M18">
            <v>-18354.836458862799</v>
          </cell>
          <cell r="N18">
            <v>-287.81900000000002</v>
          </cell>
          <cell r="O18">
            <v>0</v>
          </cell>
          <cell r="P18">
            <v>-1952.0930000000001</v>
          </cell>
          <cell r="Q18">
            <v>-6827.1989999999996</v>
          </cell>
          <cell r="R18">
            <v>-8237.259</v>
          </cell>
          <cell r="S18">
            <v>-7635.0930323725797</v>
          </cell>
          <cell r="T18">
            <v>-993.35093202312498</v>
          </cell>
          <cell r="U18">
            <v>-107559.270791034</v>
          </cell>
        </row>
        <row r="19">
          <cell r="A19" t="str">
            <v>AC=GFB005</v>
          </cell>
          <cell r="B19">
            <v>9</v>
          </cell>
          <cell r="C19">
            <v>-4761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-4761</v>
          </cell>
        </row>
        <row r="20">
          <cell r="A20" t="str">
            <v>AC=GFB006</v>
          </cell>
          <cell r="B20">
            <v>10</v>
          </cell>
          <cell r="C20">
            <v>-192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-192</v>
          </cell>
        </row>
        <row r="21">
          <cell r="B21">
            <v>11</v>
          </cell>
        </row>
        <row r="22">
          <cell r="A22" t="str">
            <v>AC=GR5000</v>
          </cell>
          <cell r="B22">
            <v>12</v>
          </cell>
          <cell r="C22">
            <v>432</v>
          </cell>
          <cell r="D22">
            <v>0</v>
          </cell>
          <cell r="E22">
            <v>-134.793045053409</v>
          </cell>
          <cell r="F22">
            <v>9.8034941913029297</v>
          </cell>
          <cell r="G22">
            <v>-75.668999999999997</v>
          </cell>
          <cell r="H22">
            <v>-35</v>
          </cell>
          <cell r="I22">
            <v>0</v>
          </cell>
          <cell r="J22">
            <v>177.51945740175501</v>
          </cell>
          <cell r="K22">
            <v>-145.746473378845</v>
          </cell>
          <cell r="L22">
            <v>27.103854110726701</v>
          </cell>
          <cell r="M22">
            <v>3.90526316904747</v>
          </cell>
          <cell r="N22">
            <v>2.9999999999994E-2</v>
          </cell>
          <cell r="O22">
            <v>0</v>
          </cell>
          <cell r="P22">
            <v>-31.120999999999999</v>
          </cell>
          <cell r="Q22">
            <v>-4.55</v>
          </cell>
          <cell r="R22">
            <v>124.55</v>
          </cell>
          <cell r="S22">
            <v>-86.018357295483298</v>
          </cell>
          <cell r="T22">
            <v>1.69717733803739</v>
          </cell>
          <cell r="U22">
            <v>263.71137048313199</v>
          </cell>
        </row>
        <row r="23">
          <cell r="A23" t="str">
            <v>AC=GR5300</v>
          </cell>
          <cell r="B23">
            <v>13</v>
          </cell>
          <cell r="C23">
            <v>-718</v>
          </cell>
          <cell r="D23">
            <v>0</v>
          </cell>
          <cell r="E23">
            <v>-9.8159882081296708</v>
          </cell>
          <cell r="F23">
            <v>0.90908138293894902</v>
          </cell>
          <cell r="G23">
            <v>0</v>
          </cell>
          <cell r="H23">
            <v>0</v>
          </cell>
          <cell r="I23">
            <v>0</v>
          </cell>
          <cell r="J23">
            <v>14.896741285821401</v>
          </cell>
          <cell r="K23">
            <v>4.90842181314735</v>
          </cell>
          <cell r="L23">
            <v>5.4801380401113899</v>
          </cell>
          <cell r="M23">
            <v>9.9566655777213207</v>
          </cell>
          <cell r="N23">
            <v>0</v>
          </cell>
          <cell r="O23">
            <v>0</v>
          </cell>
          <cell r="P23">
            <v>-62.005000000000003</v>
          </cell>
          <cell r="Q23">
            <v>0.41999999999995902</v>
          </cell>
          <cell r="R23">
            <v>0.12000000000000501</v>
          </cell>
          <cell r="S23">
            <v>0.74209022457576201</v>
          </cell>
          <cell r="T23">
            <v>0.303633862879854</v>
          </cell>
          <cell r="U23">
            <v>-752.08421602093404</v>
          </cell>
        </row>
        <row r="24">
          <cell r="A24" t="str">
            <v>AC=GR5400</v>
          </cell>
          <cell r="B24">
            <v>14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121.93751263842201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121.93751263842201</v>
          </cell>
        </row>
        <row r="25">
          <cell r="B25">
            <v>15</v>
          </cell>
        </row>
        <row r="26">
          <cell r="A26" t="str">
            <v>AC=GRNAI2</v>
          </cell>
          <cell r="B26">
            <v>16</v>
          </cell>
          <cell r="C26">
            <v>-8979.9179999999997</v>
          </cell>
          <cell r="D26">
            <v>-178.8</v>
          </cell>
          <cell r="E26">
            <v>3984.49317528557</v>
          </cell>
          <cell r="F26">
            <v>1381.6162817540801</v>
          </cell>
          <cell r="G26">
            <v>620.51738753323605</v>
          </cell>
          <cell r="H26">
            <v>-4.3861419999999498</v>
          </cell>
          <cell r="I26">
            <v>0</v>
          </cell>
          <cell r="J26">
            <v>-466.55162624562399</v>
          </cell>
          <cell r="K26">
            <v>20.558251116558001</v>
          </cell>
          <cell r="L26">
            <v>400.99043553332001</v>
          </cell>
          <cell r="M26">
            <v>1873.4671985339201</v>
          </cell>
          <cell r="N26">
            <v>-199.54</v>
          </cell>
          <cell r="O26">
            <v>0</v>
          </cell>
          <cell r="P26">
            <v>123.934</v>
          </cell>
          <cell r="Q26">
            <v>14026.695</v>
          </cell>
          <cell r="R26">
            <v>12803.481</v>
          </cell>
          <cell r="S26">
            <v>5055.3032573507699</v>
          </cell>
          <cell r="T26">
            <v>-1107.08051769433</v>
          </cell>
          <cell r="U26">
            <v>29354.779701167499</v>
          </cell>
        </row>
        <row r="27">
          <cell r="A27" t="str">
            <v>AC=GRNAI</v>
          </cell>
          <cell r="B27">
            <v>17</v>
          </cell>
          <cell r="C27">
            <v>-13932.918</v>
          </cell>
          <cell r="D27">
            <v>-178.8</v>
          </cell>
          <cell r="E27">
            <v>3984.49317528557</v>
          </cell>
          <cell r="F27">
            <v>1381.6162817540801</v>
          </cell>
          <cell r="G27">
            <v>620.51738753323502</v>
          </cell>
          <cell r="H27">
            <v>-4.3861419999998903</v>
          </cell>
          <cell r="I27">
            <v>0</v>
          </cell>
          <cell r="J27">
            <v>-466.55162624562303</v>
          </cell>
          <cell r="K27">
            <v>20.558251116556999</v>
          </cell>
          <cell r="L27">
            <v>400.99043553332001</v>
          </cell>
          <cell r="M27">
            <v>1873.4671985339201</v>
          </cell>
          <cell r="N27">
            <v>-199.54</v>
          </cell>
          <cell r="O27">
            <v>0</v>
          </cell>
          <cell r="P27">
            <v>123.934</v>
          </cell>
          <cell r="Q27">
            <v>14026.695</v>
          </cell>
          <cell r="R27">
            <v>12803.481</v>
          </cell>
          <cell r="S27">
            <v>5055.3032573507699</v>
          </cell>
          <cell r="T27">
            <v>-1107.08051769433</v>
          </cell>
          <cell r="U27">
            <v>24401.779701167499</v>
          </cell>
        </row>
        <row r="28">
          <cell r="A28" t="str">
            <v>RNAI hors Technique</v>
          </cell>
          <cell r="B28">
            <v>18</v>
          </cell>
          <cell r="C28">
            <v>-8621.8379999999997</v>
          </cell>
          <cell r="D28">
            <v>-178.8</v>
          </cell>
          <cell r="E28">
            <v>3984.4931752855628</v>
          </cell>
          <cell r="F28">
            <v>1381.6162817540817</v>
          </cell>
          <cell r="G28">
            <v>620.51738753322923</v>
          </cell>
          <cell r="H28">
            <v>-4.3861420000000066</v>
          </cell>
          <cell r="I28">
            <v>0</v>
          </cell>
          <cell r="J28">
            <v>-466.55162624562365</v>
          </cell>
          <cell r="K28">
            <v>20.558251116562637</v>
          </cell>
          <cell r="L28">
            <v>400.99043553331825</v>
          </cell>
          <cell r="M28">
            <v>1873.4671985338925</v>
          </cell>
          <cell r="N28">
            <v>-199.54000000000002</v>
          </cell>
          <cell r="O28">
            <v>0</v>
          </cell>
          <cell r="P28">
            <v>123.93399999999971</v>
          </cell>
          <cell r="Q28">
            <v>14026.695000000002</v>
          </cell>
          <cell r="R28">
            <v>12803.481</v>
          </cell>
          <cell r="S28">
            <v>5055.3032573508126</v>
          </cell>
          <cell r="T28">
            <v>-1107.0805176943256</v>
          </cell>
          <cell r="U28">
            <v>29712.859701167614</v>
          </cell>
        </row>
        <row r="41">
          <cell r="AK41">
            <v>1</v>
          </cell>
          <cell r="AL41" t="str">
            <v>RU=GT-TUT</v>
          </cell>
          <cell r="AM41" t="str">
            <v>RU=GT-FPBNPPI</v>
          </cell>
          <cell r="AN41" t="str">
            <v>RU=GT-FPAR</v>
          </cell>
          <cell r="AO41" t="str">
            <v>RU=G-CENTRAL</v>
          </cell>
          <cell r="AP41" t="str">
            <v>RU=G-HDBNPPI</v>
          </cell>
          <cell r="AQ41" t="str">
            <v>RU=G-FRMP</v>
          </cell>
          <cell r="AR41" t="str">
            <v>RU=G-HDAR</v>
          </cell>
          <cell r="AS41" t="str">
            <v>RU=G-FRAR</v>
          </cell>
          <cell r="AT41" t="str">
            <v>RU=G-UK</v>
          </cell>
          <cell r="AU41" t="str">
            <v>RU=G-DE</v>
          </cell>
          <cell r="AV41" t="str">
            <v>RU=G-SP</v>
          </cell>
          <cell r="AW41" t="str">
            <v>RU=G-BE</v>
          </cell>
          <cell r="AX41" t="str">
            <v>RU=G-LX</v>
          </cell>
          <cell r="AY41" t="str">
            <v>RU=G-ITAR</v>
          </cell>
          <cell r="AZ41" t="str">
            <v>RU=G-IR</v>
          </cell>
          <cell r="BA41" t="str">
            <v>RU=G-US</v>
          </cell>
          <cell r="BB41" t="str">
            <v>RU=G-ITBNL</v>
          </cell>
          <cell r="BC41" t="str">
            <v>RU=G-ITNAZCA</v>
          </cell>
          <cell r="BD41" t="str">
            <v>RU=G-ITMP</v>
          </cell>
          <cell r="BE41" t="str">
            <v>RU=G-ABU</v>
          </cell>
          <cell r="BF41" t="str">
            <v>RU=G-GULF</v>
          </cell>
          <cell r="BG41" t="str">
            <v>RU=G-JER</v>
          </cell>
          <cell r="BH41" t="str">
            <v>RU=G-ROM</v>
          </cell>
          <cell r="BI41" t="str">
            <v>RU=G-IND</v>
          </cell>
          <cell r="BJ41" t="str">
            <v>RU=G-ABER</v>
          </cell>
          <cell r="BK41" t="str">
            <v>RU=G-REIMLUX</v>
          </cell>
          <cell r="BL41" t="str">
            <v>RU=G-REIMSP</v>
          </cell>
          <cell r="BM41" t="str">
            <v>RU sum AF00100</v>
          </cell>
        </row>
        <row r="42">
          <cell r="AK42">
            <v>2</v>
          </cell>
        </row>
        <row r="43">
          <cell r="AJ43" t="str">
            <v>AC=GPNBSOC</v>
          </cell>
          <cell r="AK43">
            <v>3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-178.8</v>
          </cell>
          <cell r="AQ43">
            <v>0</v>
          </cell>
          <cell r="AR43">
            <v>0</v>
          </cell>
          <cell r="AS43">
            <v>23220.62</v>
          </cell>
          <cell r="AT43">
            <v>13307.7159255961</v>
          </cell>
          <cell r="AU43">
            <v>12435.013000000001</v>
          </cell>
          <cell r="AV43">
            <v>2206.5360000000001</v>
          </cell>
          <cell r="AW43">
            <v>864.29300000000001</v>
          </cell>
          <cell r="AX43">
            <v>171.26499999999999</v>
          </cell>
          <cell r="AY43">
            <v>1028.33</v>
          </cell>
          <cell r="AZ43">
            <v>259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122.03424995895899</v>
          </cell>
          <cell r="BF43">
            <v>42.815853041326399</v>
          </cell>
          <cell r="BG43">
            <v>90.963267100364604</v>
          </cell>
          <cell r="BH43">
            <v>95.931415638288001</v>
          </cell>
          <cell r="BI43">
            <v>575.28120354140196</v>
          </cell>
          <cell r="BJ43">
            <v>0</v>
          </cell>
          <cell r="BK43">
            <v>0</v>
          </cell>
          <cell r="BL43">
            <v>0</v>
          </cell>
          <cell r="BM43">
            <v>54260.253854397903</v>
          </cell>
        </row>
        <row r="44">
          <cell r="AJ44" t="str">
            <v>AC=GFB001</v>
          </cell>
          <cell r="AK44">
            <v>4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</row>
        <row r="45">
          <cell r="AJ45" t="str">
            <v>AC=GFB002</v>
          </cell>
          <cell r="AK45">
            <v>5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</row>
        <row r="46">
          <cell r="AJ46" t="str">
            <v>AC=GFB004</v>
          </cell>
          <cell r="AK46">
            <v>6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</row>
        <row r="48">
          <cell r="AJ48" t="str">
            <v>AC=GFDGHT</v>
          </cell>
          <cell r="AK48">
            <v>8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4.9382720135327003E-13</v>
          </cell>
          <cell r="AQ48">
            <v>0</v>
          </cell>
          <cell r="AR48">
            <v>0</v>
          </cell>
          <cell r="AS48">
            <v>-19666.185076500002</v>
          </cell>
          <cell r="AT48">
            <v>-13461.184715887101</v>
          </cell>
          <cell r="AU48">
            <v>-9833.8590000000004</v>
          </cell>
          <cell r="AV48">
            <v>-2778.6219999999998</v>
          </cell>
          <cell r="AW48">
            <v>-596.947</v>
          </cell>
          <cell r="AX48">
            <v>-257.83300000000003</v>
          </cell>
          <cell r="AY48">
            <v>-1389.204</v>
          </cell>
          <cell r="AZ48">
            <v>-377.02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-60.114359442625897</v>
          </cell>
          <cell r="BF48">
            <v>-64.498018294182103</v>
          </cell>
          <cell r="BG48">
            <v>-27.6051898731309</v>
          </cell>
          <cell r="BH48">
            <v>-153.48520428334299</v>
          </cell>
          <cell r="BI48">
            <v>-277.83123009427601</v>
          </cell>
          <cell r="BJ48">
            <v>0</v>
          </cell>
          <cell r="BK48">
            <v>0</v>
          </cell>
          <cell r="BL48">
            <v>0</v>
          </cell>
          <cell r="BM48">
            <v>-49068.213018539398</v>
          </cell>
        </row>
        <row r="49">
          <cell r="AJ49" t="str">
            <v>AC=GFB005</v>
          </cell>
          <cell r="AK49">
            <v>9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</row>
        <row r="50">
          <cell r="AJ50" t="str">
            <v>AC=GFB006</v>
          </cell>
          <cell r="AK50">
            <v>10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</row>
        <row r="52">
          <cell r="AJ52" t="str">
            <v>AC=GR5000</v>
          </cell>
          <cell r="AK52">
            <v>12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-330.05</v>
          </cell>
          <cell r="AT52">
            <v>210.96095585752801</v>
          </cell>
          <cell r="AU52">
            <v>13.298</v>
          </cell>
          <cell r="AV52">
            <v>-9.8089999999999993</v>
          </cell>
          <cell r="AW52">
            <v>45.274000000000001</v>
          </cell>
          <cell r="AX52">
            <v>0</v>
          </cell>
          <cell r="AY52">
            <v>-0.4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-0.62144016945730396</v>
          </cell>
          <cell r="BI52">
            <v>5.2347715834603097</v>
          </cell>
          <cell r="BJ52">
            <v>0</v>
          </cell>
          <cell r="BK52">
            <v>0</v>
          </cell>
          <cell r="BL52">
            <v>0</v>
          </cell>
          <cell r="BM52">
            <v>-66.112712728469305</v>
          </cell>
        </row>
        <row r="53">
          <cell r="AJ53" t="str">
            <v>AC=GR5300</v>
          </cell>
          <cell r="AK53">
            <v>13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9.1520000000000099</v>
          </cell>
          <cell r="AT53">
            <v>37.4613943138894</v>
          </cell>
          <cell r="AU53">
            <v>-30.234999999999999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16.378394313889501</v>
          </cell>
        </row>
        <row r="54">
          <cell r="AJ54" t="str">
            <v>AC=GR5400</v>
          </cell>
          <cell r="AK54">
            <v>14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</row>
        <row r="56">
          <cell r="AJ56" t="str">
            <v>AC=GRNAI2</v>
          </cell>
          <cell r="AK56">
            <v>16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-178.8</v>
          </cell>
          <cell r="AQ56">
            <v>0</v>
          </cell>
          <cell r="AR56">
            <v>0</v>
          </cell>
          <cell r="AS56">
            <v>3233.5369234999998</v>
          </cell>
          <cell r="AT56">
            <v>94.953559880451493</v>
          </cell>
          <cell r="AU56">
            <v>2584.2170000000001</v>
          </cell>
          <cell r="AV56">
            <v>-581.89499999999998</v>
          </cell>
          <cell r="AW56">
            <v>312.62</v>
          </cell>
          <cell r="AX56">
            <v>-86.567999999999998</v>
          </cell>
          <cell r="AY56">
            <v>-361.274</v>
          </cell>
          <cell r="AZ56">
            <v>-118.02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61.919890516332899</v>
          </cell>
          <cell r="BF56">
            <v>-21.6821652528557</v>
          </cell>
          <cell r="BG56">
            <v>63.3580772272337</v>
          </cell>
          <cell r="BH56">
            <v>-58.175228814512202</v>
          </cell>
          <cell r="BI56">
            <v>302.68474503058599</v>
          </cell>
          <cell r="BJ56">
            <v>0</v>
          </cell>
          <cell r="BK56">
            <v>0</v>
          </cell>
          <cell r="BL56">
            <v>0</v>
          </cell>
          <cell r="BM56">
            <v>5142.3065174438998</v>
          </cell>
        </row>
        <row r="57">
          <cell r="AJ57" t="str">
            <v>AC=GRNAI</v>
          </cell>
          <cell r="AK57">
            <v>17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-178.8</v>
          </cell>
          <cell r="AQ57">
            <v>0</v>
          </cell>
          <cell r="AR57">
            <v>0</v>
          </cell>
          <cell r="AS57">
            <v>3233.5369234999998</v>
          </cell>
          <cell r="AT57">
            <v>94.953559880453298</v>
          </cell>
          <cell r="AU57">
            <v>2584.2170000000001</v>
          </cell>
          <cell r="AV57">
            <v>-581.89499999999998</v>
          </cell>
          <cell r="AW57">
            <v>312.62</v>
          </cell>
          <cell r="AX57">
            <v>-86.567999999999998</v>
          </cell>
          <cell r="AY57">
            <v>-361.27400000000102</v>
          </cell>
          <cell r="AZ57">
            <v>-118.02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61.919890516332899</v>
          </cell>
          <cell r="BF57">
            <v>-21.6821652528557</v>
          </cell>
          <cell r="BG57">
            <v>63.3580772272337</v>
          </cell>
          <cell r="BH57">
            <v>-58.175228814512202</v>
          </cell>
          <cell r="BI57">
            <v>302.68474503058599</v>
          </cell>
          <cell r="BJ57">
            <v>0</v>
          </cell>
          <cell r="BK57">
            <v>0</v>
          </cell>
          <cell r="BL57">
            <v>0</v>
          </cell>
          <cell r="BM57">
            <v>5142.3065174439098</v>
          </cell>
        </row>
        <row r="58">
          <cell r="AJ58" t="str">
            <v>RNAI hors Technique</v>
          </cell>
          <cell r="AK58">
            <v>18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-178.79999999999953</v>
          </cell>
          <cell r="AQ58">
            <v>0</v>
          </cell>
          <cell r="AR58">
            <v>0</v>
          </cell>
          <cell r="AS58">
            <v>3233.5369234999971</v>
          </cell>
          <cell r="AT58">
            <v>94.953559880416492</v>
          </cell>
          <cell r="AU58">
            <v>2584.2170000000001</v>
          </cell>
          <cell r="AV58">
            <v>-581.89499999999975</v>
          </cell>
          <cell r="AW58">
            <v>312.62</v>
          </cell>
          <cell r="AX58">
            <v>-86.56800000000004</v>
          </cell>
          <cell r="AY58">
            <v>-361.274</v>
          </cell>
          <cell r="AZ58">
            <v>-118.01999999999998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61.919890516333098</v>
          </cell>
          <cell r="BF58">
            <v>-21.682165252855704</v>
          </cell>
          <cell r="BG58">
            <v>63.358077227233707</v>
          </cell>
          <cell r="BH58">
            <v>-58.175228814512295</v>
          </cell>
          <cell r="BI58">
            <v>302.68474503058627</v>
          </cell>
          <cell r="BJ58">
            <v>0</v>
          </cell>
          <cell r="BK58">
            <v>0</v>
          </cell>
          <cell r="BL58">
            <v>0</v>
          </cell>
          <cell r="BM58">
            <v>5142.3065174439253</v>
          </cell>
        </row>
        <row r="71">
          <cell r="B71">
            <v>1</v>
          </cell>
          <cell r="C71" t="str">
            <v>OA=OA005</v>
          </cell>
          <cell r="D71" t="str">
            <v>OA=OA006</v>
          </cell>
          <cell r="E71" t="str">
            <v>OA=OA010</v>
          </cell>
          <cell r="F71" t="str">
            <v>OA=OA011</v>
          </cell>
          <cell r="G71" t="str">
            <v>OA=OA015</v>
          </cell>
          <cell r="H71" t="str">
            <v>OA=OA016</v>
          </cell>
          <cell r="I71" t="str">
            <v>OA=OA017</v>
          </cell>
          <cell r="J71" t="str">
            <v>OA=OA020</v>
          </cell>
          <cell r="K71" t="str">
            <v>OA=OA021</v>
          </cell>
          <cell r="L71" t="str">
            <v>OA=OA022</v>
          </cell>
          <cell r="M71" t="str">
            <v>OA=OA030</v>
          </cell>
          <cell r="N71" t="str">
            <v>OA=OA031</v>
          </cell>
          <cell r="O71" t="str">
            <v>OA=OA035</v>
          </cell>
          <cell r="P71" t="str">
            <v>OA=OA036</v>
          </cell>
          <cell r="Q71" t="str">
            <v>OA=OA040</v>
          </cell>
          <cell r="R71" t="str">
            <v>OA=OA041</v>
          </cell>
          <cell r="S71" t="str">
            <v>OA=OA060</v>
          </cell>
          <cell r="T71" t="str">
            <v>OA=OA061</v>
          </cell>
          <cell r="U71" t="str">
            <v>OA sum AR001</v>
          </cell>
        </row>
        <row r="72">
          <cell r="B72">
            <v>2</v>
          </cell>
        </row>
        <row r="73">
          <cell r="A73" t="str">
            <v>AC=GPNBSOC</v>
          </cell>
          <cell r="B73">
            <v>3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4869.26</v>
          </cell>
          <cell r="H73">
            <v>204.315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7969.7240000000002</v>
          </cell>
          <cell r="N73">
            <v>88.248999999999995</v>
          </cell>
          <cell r="O73">
            <v>0</v>
          </cell>
          <cell r="P73">
            <v>2169.1529999999998</v>
          </cell>
          <cell r="Q73">
            <v>20416.13</v>
          </cell>
          <cell r="R73">
            <v>20916.07</v>
          </cell>
          <cell r="S73">
            <v>6793.9040000000005</v>
          </cell>
          <cell r="T73">
            <v>-266.71800000000002</v>
          </cell>
          <cell r="U73">
            <v>63160.087</v>
          </cell>
        </row>
        <row r="74">
          <cell r="A74" t="str">
            <v>AC=GFB001</v>
          </cell>
          <cell r="B74">
            <v>4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</row>
        <row r="75">
          <cell r="A75" t="str">
            <v>AC=GFB002</v>
          </cell>
          <cell r="B75">
            <v>5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A76" t="str">
            <v>AC=GFB004</v>
          </cell>
          <cell r="B76">
            <v>6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7">
          <cell r="B77">
            <v>7</v>
          </cell>
        </row>
        <row r="78">
          <cell r="A78" t="str">
            <v>AC=GFDGHT</v>
          </cell>
          <cell r="B78">
            <v>8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-4161.1859999999997</v>
          </cell>
          <cell r="H78">
            <v>-173.701142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-7222.1170000000002</v>
          </cell>
          <cell r="N78">
            <v>-287.81900000000002</v>
          </cell>
          <cell r="O78">
            <v>0</v>
          </cell>
          <cell r="P78">
            <v>-1952.0930000000001</v>
          </cell>
          <cell r="Q78">
            <v>-5772.7619999999997</v>
          </cell>
          <cell r="R78">
            <v>-8237.259</v>
          </cell>
          <cell r="S78">
            <v>-3472.6947</v>
          </cell>
          <cell r="T78">
            <v>-740.33838560000004</v>
          </cell>
          <cell r="U78">
            <v>-32019.970227599999</v>
          </cell>
        </row>
        <row r="79">
          <cell r="A79" t="str">
            <v>AC=GFB005</v>
          </cell>
          <cell r="B79">
            <v>9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</row>
        <row r="80">
          <cell r="A80" t="str">
            <v>AC=GFB006</v>
          </cell>
          <cell r="B80">
            <v>10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</row>
        <row r="81">
          <cell r="B81">
            <v>11</v>
          </cell>
        </row>
        <row r="82">
          <cell r="A82" t="str">
            <v>AC=GR5000</v>
          </cell>
          <cell r="B82">
            <v>12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-72.23</v>
          </cell>
          <cell r="H82">
            <v>-35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25.093</v>
          </cell>
          <cell r="N82">
            <v>2.9999999999994E-2</v>
          </cell>
          <cell r="O82">
            <v>0</v>
          </cell>
          <cell r="P82">
            <v>-31.120999999999999</v>
          </cell>
          <cell r="Q82">
            <v>-17.91</v>
          </cell>
          <cell r="R82">
            <v>124.55</v>
          </cell>
          <cell r="S82">
            <v>16</v>
          </cell>
          <cell r="T82">
            <v>0</v>
          </cell>
          <cell r="U82">
            <v>9.4120000000000097</v>
          </cell>
        </row>
        <row r="83">
          <cell r="A83" t="str">
            <v>AC=GR5300</v>
          </cell>
          <cell r="B83">
            <v>13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-3.9999999999992E-2</v>
          </cell>
          <cell r="N83">
            <v>0</v>
          </cell>
          <cell r="O83">
            <v>0</v>
          </cell>
          <cell r="P83">
            <v>-62.005000000000003</v>
          </cell>
          <cell r="Q83">
            <v>0</v>
          </cell>
          <cell r="R83">
            <v>0.12000000000000501</v>
          </cell>
          <cell r="S83">
            <v>0</v>
          </cell>
          <cell r="T83">
            <v>0</v>
          </cell>
          <cell r="U83">
            <v>-61.924999999999997</v>
          </cell>
        </row>
        <row r="84">
          <cell r="A84" t="str">
            <v>AC=GR5400</v>
          </cell>
          <cell r="B84">
            <v>14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B85">
            <v>15</v>
          </cell>
        </row>
        <row r="86">
          <cell r="A86" t="str">
            <v>AC=GRNAI2</v>
          </cell>
          <cell r="B86">
            <v>16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635.84400000000301</v>
          </cell>
          <cell r="H86">
            <v>-4.3861419999999498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772.66</v>
          </cell>
          <cell r="N86">
            <v>-199.54</v>
          </cell>
          <cell r="O86">
            <v>0</v>
          </cell>
          <cell r="P86">
            <v>123.934</v>
          </cell>
          <cell r="Q86">
            <v>14625.458000000001</v>
          </cell>
          <cell r="R86">
            <v>12803.481</v>
          </cell>
          <cell r="S86">
            <v>3337.2093</v>
          </cell>
          <cell r="T86">
            <v>-1007.0563856</v>
          </cell>
          <cell r="U86">
            <v>31087.603772400002</v>
          </cell>
        </row>
        <row r="87">
          <cell r="A87" t="str">
            <v>AC=GRNAI</v>
          </cell>
          <cell r="B87">
            <v>17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635.84400000000198</v>
          </cell>
          <cell r="H87">
            <v>-4.3861419999998903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772.65999999999599</v>
          </cell>
          <cell r="N87">
            <v>-199.54</v>
          </cell>
          <cell r="O87">
            <v>0</v>
          </cell>
          <cell r="P87">
            <v>123.934</v>
          </cell>
          <cell r="Q87">
            <v>14625.458000000001</v>
          </cell>
          <cell r="R87">
            <v>12803.481</v>
          </cell>
          <cell r="S87">
            <v>3337.2093</v>
          </cell>
          <cell r="T87">
            <v>-1007.0563856</v>
          </cell>
          <cell r="U87">
            <v>31087.603772400002</v>
          </cell>
        </row>
        <row r="88">
          <cell r="A88" t="str">
            <v>RNAI hors Technique</v>
          </cell>
          <cell r="B88">
            <v>18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635.84400000000051</v>
          </cell>
          <cell r="H88">
            <v>-4.3861420000000066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772.66</v>
          </cell>
          <cell r="N88">
            <v>-199.54000000000002</v>
          </cell>
          <cell r="O88">
            <v>0</v>
          </cell>
          <cell r="P88">
            <v>123.93399999999971</v>
          </cell>
          <cell r="Q88">
            <v>14625.458000000002</v>
          </cell>
          <cell r="R88">
            <v>12803.481</v>
          </cell>
          <cell r="S88">
            <v>3337.2093000000004</v>
          </cell>
          <cell r="T88">
            <v>-1007.0563856000001</v>
          </cell>
          <cell r="U88">
            <v>31087.603772400002</v>
          </cell>
        </row>
        <row r="101">
          <cell r="B101">
            <v>1</v>
          </cell>
          <cell r="C101" t="str">
            <v>OA=OA005</v>
          </cell>
          <cell r="D101" t="str">
            <v>OA=OA006</v>
          </cell>
          <cell r="E101" t="str">
            <v>OA=OA010</v>
          </cell>
          <cell r="F101" t="str">
            <v>OA=OA011</v>
          </cell>
          <cell r="G101" t="str">
            <v>OA=OA015</v>
          </cell>
          <cell r="H101" t="str">
            <v>OA=OA016</v>
          </cell>
          <cell r="I101" t="str">
            <v>OA=OA017</v>
          </cell>
          <cell r="J101" t="str">
            <v>OA=OA020</v>
          </cell>
          <cell r="K101" t="str">
            <v>OA=OA021</v>
          </cell>
          <cell r="L101" t="str">
            <v>OA=OA022</v>
          </cell>
          <cell r="M101" t="str">
            <v>OA=OA030</v>
          </cell>
          <cell r="N101" t="str">
            <v>OA=OA031</v>
          </cell>
          <cell r="O101" t="str">
            <v>OA=OA035</v>
          </cell>
          <cell r="P101" t="str">
            <v>OA=OA036</v>
          </cell>
          <cell r="Q101" t="str">
            <v>OA=OA040</v>
          </cell>
          <cell r="R101" t="str">
            <v>OA=OA041</v>
          </cell>
          <cell r="S101" t="str">
            <v>OA=OA060</v>
          </cell>
          <cell r="T101" t="str">
            <v>OA=OA061</v>
          </cell>
          <cell r="U101" t="str">
            <v>OA sum AR001</v>
          </cell>
        </row>
        <row r="102">
          <cell r="B102">
            <v>2</v>
          </cell>
        </row>
        <row r="103">
          <cell r="A103" t="str">
            <v>AC=GPNBSOC</v>
          </cell>
          <cell r="B103">
            <v>3</v>
          </cell>
          <cell r="C103">
            <v>0</v>
          </cell>
          <cell r="D103">
            <v>0</v>
          </cell>
          <cell r="E103">
            <v>571.08699999999999</v>
          </cell>
          <cell r="F103">
            <v>280.94400000000002</v>
          </cell>
          <cell r="G103">
            <v>587.97799999999995</v>
          </cell>
          <cell r="H103">
            <v>0</v>
          </cell>
          <cell r="I103">
            <v>0</v>
          </cell>
          <cell r="J103">
            <v>0</v>
          </cell>
          <cell r="K103">
            <v>1354.5050000000001</v>
          </cell>
          <cell r="L103">
            <v>0</v>
          </cell>
          <cell r="M103">
            <v>838.44299999999998</v>
          </cell>
          <cell r="N103">
            <v>0</v>
          </cell>
          <cell r="O103">
            <v>0</v>
          </cell>
          <cell r="P103">
            <v>0</v>
          </cell>
          <cell r="Q103">
            <v>3.702</v>
          </cell>
          <cell r="R103">
            <v>0</v>
          </cell>
          <cell r="S103">
            <v>0</v>
          </cell>
          <cell r="T103">
            <v>0</v>
          </cell>
          <cell r="U103">
            <v>3636.6590000000001</v>
          </cell>
        </row>
        <row r="104">
          <cell r="A104" t="str">
            <v>AC=GFB001</v>
          </cell>
          <cell r="B104">
            <v>4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</row>
        <row r="105">
          <cell r="A105" t="str">
            <v>AC=GFB002</v>
          </cell>
          <cell r="B105">
            <v>5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</row>
        <row r="106">
          <cell r="A106" t="str">
            <v>AC=GFB004</v>
          </cell>
          <cell r="B106">
            <v>6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</row>
        <row r="107">
          <cell r="B107">
            <v>7</v>
          </cell>
        </row>
        <row r="108">
          <cell r="A108" t="str">
            <v>AC=GFDGHT</v>
          </cell>
          <cell r="B108">
            <v>8</v>
          </cell>
          <cell r="C108">
            <v>0</v>
          </cell>
          <cell r="D108">
            <v>0</v>
          </cell>
          <cell r="E108">
            <v>-1144.337</v>
          </cell>
          <cell r="F108">
            <v>-243.72</v>
          </cell>
          <cell r="G108">
            <v>-611.06299999999999</v>
          </cell>
          <cell r="H108">
            <v>0</v>
          </cell>
          <cell r="I108">
            <v>0</v>
          </cell>
          <cell r="J108">
            <v>0</v>
          </cell>
          <cell r="K108">
            <v>-1390.5650000000001</v>
          </cell>
          <cell r="L108">
            <v>0</v>
          </cell>
          <cell r="M108">
            <v>-723.93499999999995</v>
          </cell>
          <cell r="N108">
            <v>0</v>
          </cell>
          <cell r="O108">
            <v>0</v>
          </cell>
          <cell r="P108">
            <v>0</v>
          </cell>
          <cell r="Q108">
            <v>-17.513999999999999</v>
          </cell>
          <cell r="R108">
            <v>0</v>
          </cell>
          <cell r="S108">
            <v>0</v>
          </cell>
          <cell r="T108">
            <v>0</v>
          </cell>
          <cell r="U108">
            <v>-4131.134</v>
          </cell>
        </row>
        <row r="109">
          <cell r="A109" t="str">
            <v>AC=GFB005</v>
          </cell>
          <cell r="B109">
            <v>9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</row>
        <row r="110">
          <cell r="A110" t="str">
            <v>AC=GFB006</v>
          </cell>
          <cell r="B110">
            <v>10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</row>
        <row r="111">
          <cell r="B111">
            <v>11</v>
          </cell>
        </row>
        <row r="112">
          <cell r="A112" t="str">
            <v>AC=GR5000</v>
          </cell>
          <cell r="B112">
            <v>12</v>
          </cell>
          <cell r="C112">
            <v>0</v>
          </cell>
          <cell r="D112">
            <v>0</v>
          </cell>
          <cell r="E112">
            <v>-12.375</v>
          </cell>
          <cell r="F112">
            <v>7.0000000000000007E-2</v>
          </cell>
          <cell r="G112">
            <v>-3.4389999999999898</v>
          </cell>
          <cell r="H112">
            <v>0</v>
          </cell>
          <cell r="I112">
            <v>0</v>
          </cell>
          <cell r="J112">
            <v>0</v>
          </cell>
          <cell r="K112">
            <v>2.496</v>
          </cell>
          <cell r="L112">
            <v>0</v>
          </cell>
          <cell r="M112">
            <v>-7.2110000000000003</v>
          </cell>
          <cell r="N112">
            <v>0</v>
          </cell>
          <cell r="O112">
            <v>0</v>
          </cell>
          <cell r="P112">
            <v>0</v>
          </cell>
          <cell r="Q112">
            <v>21.471</v>
          </cell>
          <cell r="R112">
            <v>0</v>
          </cell>
          <cell r="S112">
            <v>0</v>
          </cell>
          <cell r="T112">
            <v>0</v>
          </cell>
          <cell r="U112">
            <v>1.012</v>
          </cell>
        </row>
        <row r="113">
          <cell r="A113" t="str">
            <v>AC=GR5300</v>
          </cell>
          <cell r="B113">
            <v>13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</row>
        <row r="114">
          <cell r="A114" t="str">
            <v>AC=GR5400</v>
          </cell>
          <cell r="B114">
            <v>14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</row>
        <row r="115">
          <cell r="B115">
            <v>15</v>
          </cell>
        </row>
        <row r="116">
          <cell r="A116" t="str">
            <v>AC=GRNAI2</v>
          </cell>
          <cell r="B116">
            <v>16</v>
          </cell>
          <cell r="C116">
            <v>0</v>
          </cell>
          <cell r="D116">
            <v>0</v>
          </cell>
          <cell r="E116">
            <v>-585.625</v>
          </cell>
          <cell r="F116">
            <v>37.294000000000302</v>
          </cell>
          <cell r="G116">
            <v>-26.524000000000001</v>
          </cell>
          <cell r="H116">
            <v>0</v>
          </cell>
          <cell r="I116">
            <v>0</v>
          </cell>
          <cell r="J116">
            <v>0</v>
          </cell>
          <cell r="K116">
            <v>-33.564000000000497</v>
          </cell>
          <cell r="L116">
            <v>0</v>
          </cell>
          <cell r="M116">
            <v>107.297</v>
          </cell>
          <cell r="N116">
            <v>0</v>
          </cell>
          <cell r="O116">
            <v>0</v>
          </cell>
          <cell r="P116">
            <v>0</v>
          </cell>
          <cell r="Q116">
            <v>7.6589999999999998</v>
          </cell>
          <cell r="R116">
            <v>0</v>
          </cell>
          <cell r="S116">
            <v>0</v>
          </cell>
          <cell r="T116">
            <v>0</v>
          </cell>
          <cell r="U116">
            <v>-493.46300000000002</v>
          </cell>
        </row>
        <row r="117">
          <cell r="A117" t="str">
            <v>AC=GRNAI</v>
          </cell>
          <cell r="B117">
            <v>17</v>
          </cell>
          <cell r="C117">
            <v>0</v>
          </cell>
          <cell r="D117">
            <v>0</v>
          </cell>
          <cell r="E117">
            <v>-585.625</v>
          </cell>
          <cell r="F117">
            <v>37.294000000000203</v>
          </cell>
          <cell r="G117">
            <v>-26.523999999999901</v>
          </cell>
          <cell r="H117">
            <v>0</v>
          </cell>
          <cell r="I117">
            <v>0</v>
          </cell>
          <cell r="J117">
            <v>0</v>
          </cell>
          <cell r="K117">
            <v>-33.564000000000597</v>
          </cell>
          <cell r="L117">
            <v>0</v>
          </cell>
          <cell r="M117">
            <v>107.297</v>
          </cell>
          <cell r="N117">
            <v>0</v>
          </cell>
          <cell r="O117">
            <v>0</v>
          </cell>
          <cell r="P117">
            <v>0</v>
          </cell>
          <cell r="Q117">
            <v>7.6589999999999998</v>
          </cell>
          <cell r="R117">
            <v>0</v>
          </cell>
          <cell r="S117">
            <v>0</v>
          </cell>
          <cell r="T117">
            <v>0</v>
          </cell>
          <cell r="U117">
            <v>-493.46300000000002</v>
          </cell>
        </row>
        <row r="118">
          <cell r="A118" t="str">
            <v>RNAI hors Technique</v>
          </cell>
          <cell r="B118">
            <v>18</v>
          </cell>
          <cell r="C118">
            <v>0</v>
          </cell>
          <cell r="D118">
            <v>0</v>
          </cell>
          <cell r="E118">
            <v>-585.625</v>
          </cell>
          <cell r="F118">
            <v>37.294000000000018</v>
          </cell>
          <cell r="G118">
            <v>-26.524000000000026</v>
          </cell>
          <cell r="H118">
            <v>0</v>
          </cell>
          <cell r="I118">
            <v>0</v>
          </cell>
          <cell r="J118">
            <v>0</v>
          </cell>
          <cell r="K118">
            <v>-33.563999999999943</v>
          </cell>
          <cell r="L118">
            <v>0</v>
          </cell>
          <cell r="M118">
            <v>107.29700000000004</v>
          </cell>
          <cell r="N118">
            <v>0</v>
          </cell>
          <cell r="O118">
            <v>0</v>
          </cell>
          <cell r="P118">
            <v>0</v>
          </cell>
          <cell r="Q118">
            <v>7.6590000000000007</v>
          </cell>
          <cell r="R118">
            <v>0</v>
          </cell>
          <cell r="S118">
            <v>0</v>
          </cell>
          <cell r="T118">
            <v>0</v>
          </cell>
          <cell r="U118">
            <v>-493.46299999999991</v>
          </cell>
        </row>
        <row r="134">
          <cell r="B134">
            <v>1</v>
          </cell>
          <cell r="C134" t="str">
            <v>RU=G-ABER</v>
          </cell>
          <cell r="D134" t="str">
            <v>RU=G-ABU</v>
          </cell>
          <cell r="E134" t="str">
            <v>RU=G-BE</v>
          </cell>
          <cell r="F134" t="str">
            <v>RU=G-CENTRAL</v>
          </cell>
          <cell r="G134" t="str">
            <v>RU=G-DE</v>
          </cell>
          <cell r="H134" t="str">
            <v>RU=G-FRAR</v>
          </cell>
          <cell r="I134" t="str">
            <v>RU=G-FRMP</v>
          </cell>
          <cell r="J134" t="str">
            <v>RU=G-FULPEI</v>
          </cell>
          <cell r="K134" t="str">
            <v>RU=G-GULF</v>
          </cell>
          <cell r="L134" t="str">
            <v>RU=G-HDAR</v>
          </cell>
          <cell r="M134" t="str">
            <v>RU=G-HDBNPPI</v>
          </cell>
          <cell r="N134" t="str">
            <v>RU=G-IND</v>
          </cell>
          <cell r="O134" t="str">
            <v>RU=G-IR</v>
          </cell>
          <cell r="P134" t="str">
            <v>RU=G-ITAR</v>
          </cell>
          <cell r="Q134" t="str">
            <v>RU=G-ITBNL</v>
          </cell>
          <cell r="R134" t="str">
            <v>RU=G-ITMP</v>
          </cell>
          <cell r="S134" t="str">
            <v>RU=G-ITNAZCA</v>
          </cell>
          <cell r="T134" t="str">
            <v>RU=G-JER</v>
          </cell>
          <cell r="U134" t="str">
            <v>RU=G-LX</v>
          </cell>
          <cell r="V134" t="str">
            <v>RU=G-NL</v>
          </cell>
          <cell r="W134" t="str">
            <v>RU=G-ROM</v>
          </cell>
          <cell r="X134" t="str">
            <v>RU=G-SP</v>
          </cell>
          <cell r="Y134" t="str">
            <v>RU=G-SPGE</v>
          </cell>
          <cell r="Z134" t="str">
            <v>RU=G-ABER</v>
          </cell>
          <cell r="AA134" t="str">
            <v>RU=G-UK</v>
          </cell>
          <cell r="AB134" t="str">
            <v>RU=G-US</v>
          </cell>
          <cell r="AC134" t="str">
            <v>RU=GT-BALE2</v>
          </cell>
          <cell r="AD134" t="str">
            <v>RU=GT-FPAR</v>
          </cell>
          <cell r="AE134" t="str">
            <v>RU=GT-FPBNPPI</v>
          </cell>
          <cell r="AF134" t="str">
            <v>RU=GT-TUT</v>
          </cell>
          <cell r="AG134" t="str">
            <v>RU=G-REIMLUX</v>
          </cell>
          <cell r="AH134" t="str">
            <v>RU=G-REIMSP</v>
          </cell>
          <cell r="AI134" t="str">
            <v>RU=G-UKPROMO</v>
          </cell>
          <cell r="AJ134" t="str">
            <v>RU=G-HUN</v>
          </cell>
          <cell r="AK134" t="str">
            <v>RU=G-TCH</v>
          </cell>
          <cell r="AL134" t="str">
            <v>RU=G-POL</v>
          </cell>
        </row>
        <row r="135">
          <cell r="B135">
            <v>2</v>
          </cell>
        </row>
        <row r="136">
          <cell r="B136">
            <v>3</v>
          </cell>
          <cell r="C136">
            <v>0</v>
          </cell>
          <cell r="D136">
            <v>0</v>
          </cell>
          <cell r="E136">
            <v>1510.626</v>
          </cell>
          <cell r="F136">
            <v>0</v>
          </cell>
          <cell r="G136">
            <v>3217.6210000000001</v>
          </cell>
          <cell r="H136">
            <v>0</v>
          </cell>
          <cell r="I136">
            <v>7969.7240000000002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103</v>
          </cell>
          <cell r="P136">
            <v>0</v>
          </cell>
          <cell r="Q136">
            <v>0</v>
          </cell>
          <cell r="R136">
            <v>0</v>
          </cell>
          <cell r="S136">
            <v>2140.85</v>
          </cell>
          <cell r="T136">
            <v>36.676251526666498</v>
          </cell>
          <cell r="U136">
            <v>286.029</v>
          </cell>
          <cell r="V136">
            <v>0</v>
          </cell>
          <cell r="W136">
            <v>78.689961178124804</v>
          </cell>
          <cell r="X136">
            <v>838.44299999999998</v>
          </cell>
          <cell r="Y136">
            <v>0</v>
          </cell>
          <cell r="Z136">
            <v>0</v>
          </cell>
          <cell r="AA136">
            <v>2728.73373349557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318.71493728878397</v>
          </cell>
          <cell r="AK136">
            <v>243.64829964204699</v>
          </cell>
          <cell r="AL136">
            <v>619.7480328803</v>
          </cell>
        </row>
        <row r="137">
          <cell r="B137">
            <v>4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</row>
        <row r="138">
          <cell r="B138">
            <v>5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</row>
        <row r="139">
          <cell r="B139">
            <v>6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</row>
        <row r="140">
          <cell r="B140">
            <v>7</v>
          </cell>
        </row>
        <row r="141">
          <cell r="B141">
            <v>8</v>
          </cell>
          <cell r="C141">
            <v>0</v>
          </cell>
          <cell r="D141">
            <v>0</v>
          </cell>
          <cell r="E141">
            <v>-1476.3610000000001</v>
          </cell>
          <cell r="F141">
            <v>0</v>
          </cell>
          <cell r="G141">
            <v>-2883.3029999999999</v>
          </cell>
          <cell r="H141">
            <v>0</v>
          </cell>
          <cell r="I141">
            <v>-7222.1170000000002</v>
          </cell>
          <cell r="J141">
            <v>0</v>
          </cell>
          <cell r="K141">
            <v>0</v>
          </cell>
          <cell r="L141">
            <v>0</v>
          </cell>
          <cell r="M141">
            <v>-1.7053025658242399E-13</v>
          </cell>
          <cell r="N141">
            <v>0</v>
          </cell>
          <cell r="O141">
            <v>-115.98</v>
          </cell>
          <cell r="P141">
            <v>0</v>
          </cell>
          <cell r="Q141">
            <v>0</v>
          </cell>
          <cell r="R141">
            <v>0</v>
          </cell>
          <cell r="S141">
            <v>-1831.06</v>
          </cell>
          <cell r="T141">
            <v>-43.7969187960691</v>
          </cell>
          <cell r="U141">
            <v>-344.67099999999999</v>
          </cell>
          <cell r="V141">
            <v>0</v>
          </cell>
          <cell r="W141">
            <v>-111.125402999114</v>
          </cell>
          <cell r="X141">
            <v>-723.93499999999995</v>
          </cell>
          <cell r="Y141">
            <v>0</v>
          </cell>
          <cell r="Z141">
            <v>0</v>
          </cell>
          <cell r="AA141">
            <v>-2532.5182803446901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-276.706847599024</v>
          </cell>
          <cell r="AK141">
            <v>-225.698974404761</v>
          </cell>
          <cell r="AL141">
            <v>-567.56303471910701</v>
          </cell>
        </row>
        <row r="142">
          <cell r="B142">
            <v>9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</row>
        <row r="143">
          <cell r="B143">
            <v>10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</row>
        <row r="144">
          <cell r="B144">
            <v>11</v>
          </cell>
        </row>
        <row r="145">
          <cell r="B145">
            <v>12</v>
          </cell>
          <cell r="C145">
            <v>0</v>
          </cell>
          <cell r="D145">
            <v>0</v>
          </cell>
          <cell r="E145">
            <v>1.5</v>
          </cell>
          <cell r="F145">
            <v>0</v>
          </cell>
          <cell r="G145">
            <v>-37.392000000000003</v>
          </cell>
          <cell r="H145">
            <v>0</v>
          </cell>
          <cell r="I145">
            <v>25.093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-2.2200000000000002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-7.2110000000000003</v>
          </cell>
          <cell r="Y145">
            <v>0</v>
          </cell>
          <cell r="Z145">
            <v>0</v>
          </cell>
          <cell r="AA145">
            <v>27.592160808119299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-3.4568976390717898</v>
          </cell>
          <cell r="AL145">
            <v>0</v>
          </cell>
        </row>
        <row r="146">
          <cell r="B146">
            <v>13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-2.4E-2</v>
          </cell>
          <cell r="H146">
            <v>0</v>
          </cell>
          <cell r="I146">
            <v>-3.9999999999992E-2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7.8434971370045803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2.1771684407167302</v>
          </cell>
          <cell r="AK146">
            <v>0</v>
          </cell>
          <cell r="AL146">
            <v>0</v>
          </cell>
        </row>
        <row r="147">
          <cell r="B147">
            <v>14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121.93751263842201</v>
          </cell>
          <cell r="AL147">
            <v>0</v>
          </cell>
        </row>
        <row r="148">
          <cell r="B148">
            <v>15</v>
          </cell>
        </row>
        <row r="149">
          <cell r="B149">
            <v>16</v>
          </cell>
          <cell r="C149">
            <v>0</v>
          </cell>
          <cell r="D149">
            <v>0</v>
          </cell>
          <cell r="E149">
            <v>35.7650000000002</v>
          </cell>
          <cell r="F149">
            <v>0</v>
          </cell>
          <cell r="G149">
            <v>296.90199999999999</v>
          </cell>
          <cell r="H149">
            <v>0</v>
          </cell>
          <cell r="I149">
            <v>772.66</v>
          </cell>
          <cell r="J149">
            <v>0</v>
          </cell>
          <cell r="K149">
            <v>0</v>
          </cell>
          <cell r="L149">
            <v>0</v>
          </cell>
          <cell r="M149">
            <v>-1.4210854715202001E-13</v>
          </cell>
          <cell r="N149">
            <v>0</v>
          </cell>
          <cell r="O149">
            <v>-12.98</v>
          </cell>
          <cell r="P149">
            <v>0</v>
          </cell>
          <cell r="Q149">
            <v>0</v>
          </cell>
          <cell r="R149">
            <v>0</v>
          </cell>
          <cell r="S149">
            <v>307.57</v>
          </cell>
          <cell r="T149">
            <v>-7.1206672694025501</v>
          </cell>
          <cell r="U149">
            <v>-58.642000000000003</v>
          </cell>
          <cell r="V149">
            <v>0</v>
          </cell>
          <cell r="W149">
            <v>-32.435441820988999</v>
          </cell>
          <cell r="X149">
            <v>107.297</v>
          </cell>
          <cell r="Y149">
            <v>0</v>
          </cell>
          <cell r="Z149">
            <v>0</v>
          </cell>
          <cell r="AA149">
            <v>231.651111096005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44.185258130477003</v>
          </cell>
          <cell r="AK149">
            <v>136.42994023663601</v>
          </cell>
          <cell r="AL149">
            <v>52.184998161192603</v>
          </cell>
        </row>
        <row r="150">
          <cell r="B150">
            <v>17</v>
          </cell>
          <cell r="C150">
            <v>0</v>
          </cell>
          <cell r="D150">
            <v>0</v>
          </cell>
          <cell r="E150">
            <v>35.764999999999901</v>
          </cell>
          <cell r="F150">
            <v>0</v>
          </cell>
          <cell r="G150">
            <v>296.90199999999999</v>
          </cell>
          <cell r="H150">
            <v>0</v>
          </cell>
          <cell r="I150">
            <v>772.65999999999599</v>
          </cell>
          <cell r="J150">
            <v>0</v>
          </cell>
          <cell r="K150">
            <v>0</v>
          </cell>
          <cell r="L150">
            <v>0</v>
          </cell>
          <cell r="M150">
            <v>1.4210854715202001E-13</v>
          </cell>
          <cell r="N150">
            <v>0</v>
          </cell>
          <cell r="O150">
            <v>-12.98</v>
          </cell>
          <cell r="P150">
            <v>0</v>
          </cell>
          <cell r="Q150">
            <v>0</v>
          </cell>
          <cell r="R150">
            <v>0</v>
          </cell>
          <cell r="S150">
            <v>307.57000000000198</v>
          </cell>
          <cell r="T150">
            <v>-7.1206672694025501</v>
          </cell>
          <cell r="U150">
            <v>-58.642000000000003</v>
          </cell>
          <cell r="V150">
            <v>0</v>
          </cell>
          <cell r="W150">
            <v>-32.435441820988899</v>
          </cell>
          <cell r="X150">
            <v>107.297</v>
          </cell>
          <cell r="Y150">
            <v>0</v>
          </cell>
          <cell r="Z150">
            <v>0</v>
          </cell>
          <cell r="AA150">
            <v>231.651111096004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44.185258130476903</v>
          </cell>
          <cell r="AK150">
            <v>136.42994023663601</v>
          </cell>
          <cell r="AL150">
            <v>52.184998161192901</v>
          </cell>
        </row>
        <row r="151">
          <cell r="B151">
            <v>18</v>
          </cell>
          <cell r="C151">
            <v>0</v>
          </cell>
          <cell r="D151">
            <v>0</v>
          </cell>
          <cell r="E151">
            <v>35.764999999999873</v>
          </cell>
          <cell r="F151">
            <v>0</v>
          </cell>
          <cell r="G151">
            <v>296.90200000000021</v>
          </cell>
          <cell r="H151">
            <v>0</v>
          </cell>
          <cell r="I151">
            <v>772.66</v>
          </cell>
          <cell r="J151">
            <v>0</v>
          </cell>
          <cell r="K151">
            <v>0</v>
          </cell>
          <cell r="L151">
            <v>0</v>
          </cell>
          <cell r="M151">
            <v>-1.7053025658242399E-13</v>
          </cell>
          <cell r="N151">
            <v>0</v>
          </cell>
          <cell r="O151">
            <v>-12.980000000000004</v>
          </cell>
          <cell r="P151">
            <v>0</v>
          </cell>
          <cell r="Q151">
            <v>0</v>
          </cell>
          <cell r="R151">
            <v>0</v>
          </cell>
          <cell r="S151">
            <v>307.56999999999994</v>
          </cell>
          <cell r="T151">
            <v>-7.1206672694026025</v>
          </cell>
          <cell r="U151">
            <v>-58.641999999999996</v>
          </cell>
          <cell r="V151">
            <v>0</v>
          </cell>
          <cell r="W151">
            <v>-32.435441820989197</v>
          </cell>
          <cell r="X151">
            <v>107.29700000000004</v>
          </cell>
          <cell r="Y151">
            <v>0</v>
          </cell>
          <cell r="Z151">
            <v>0</v>
          </cell>
          <cell r="AA151">
            <v>231.65111109600386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44.185258130476697</v>
          </cell>
          <cell r="AK151">
            <v>136.42994023663621</v>
          </cell>
          <cell r="AL151">
            <v>52.184998161192993</v>
          </cell>
        </row>
        <row r="199">
          <cell r="B199">
            <v>1</v>
          </cell>
          <cell r="C199" t="str">
            <v>RU=G-ABER</v>
          </cell>
          <cell r="D199" t="str">
            <v>RU=G-ABU</v>
          </cell>
          <cell r="E199" t="str">
            <v>RU=G-BE</v>
          </cell>
          <cell r="F199" t="str">
            <v>RU=G-CENTRAL</v>
          </cell>
          <cell r="G199" t="str">
            <v>RU=G-DE</v>
          </cell>
          <cell r="H199" t="str">
            <v>RU=G-FRAR</v>
          </cell>
          <cell r="I199" t="str">
            <v>RU=G-FRMP</v>
          </cell>
          <cell r="J199" t="str">
            <v>RU=G-FULPEI</v>
          </cell>
          <cell r="K199" t="str">
            <v>RU=G-GULF</v>
          </cell>
          <cell r="L199" t="str">
            <v>RU=G-HDAR</v>
          </cell>
          <cell r="M199" t="str">
            <v>RU=G-HDBNPPI</v>
          </cell>
          <cell r="N199" t="str">
            <v>RU=G-IND</v>
          </cell>
          <cell r="O199" t="str">
            <v>RU=G-IR</v>
          </cell>
          <cell r="P199" t="str">
            <v>RU=G-ITAR</v>
          </cell>
          <cell r="Q199" t="str">
            <v>RU=G-ITBNL</v>
          </cell>
          <cell r="R199" t="str">
            <v>RU=G-ITMP</v>
          </cell>
          <cell r="S199" t="str">
            <v>RU=G-ITNAZCA</v>
          </cell>
          <cell r="T199" t="str">
            <v>RU=G-JER</v>
          </cell>
          <cell r="U199" t="str">
            <v>RU=G-LX</v>
          </cell>
          <cell r="V199" t="str">
            <v>RU=G-NL</v>
          </cell>
          <cell r="W199" t="str">
            <v>RU=G-ROM</v>
          </cell>
          <cell r="X199" t="str">
            <v>RU=G-SP</v>
          </cell>
          <cell r="Y199" t="str">
            <v>RU=G-SPGE</v>
          </cell>
          <cell r="Z199" t="str">
            <v>RU=G-ABER</v>
          </cell>
          <cell r="AA199" t="str">
            <v>RU=G-UK</v>
          </cell>
          <cell r="AB199" t="str">
            <v>RU=G-US</v>
          </cell>
          <cell r="AC199" t="str">
            <v>RU=GT-BALE2</v>
          </cell>
          <cell r="AD199" t="str">
            <v>RU=GT-FPAR</v>
          </cell>
          <cell r="AE199" t="str">
            <v>RU=GT-FPBNPPI</v>
          </cell>
          <cell r="AF199" t="str">
            <v>RU=G-REIMLUX</v>
          </cell>
          <cell r="AG199" t="str">
            <v>RU=G-REIMSP</v>
          </cell>
          <cell r="AH199" t="str">
            <v>RU=G-UKPROMO</v>
          </cell>
          <cell r="AI199" t="str">
            <v>RU=G-HUN</v>
          </cell>
          <cell r="AJ199" t="str">
            <v>RU=G-TCH</v>
          </cell>
          <cell r="AK199" t="str">
            <v>RU=G-POL</v>
          </cell>
          <cell r="AL199" t="str">
            <v>RU sum AF00100</v>
          </cell>
        </row>
        <row r="200">
          <cell r="B200">
            <v>2</v>
          </cell>
        </row>
        <row r="201">
          <cell r="A201" t="str">
            <v>AC=GPNBSOC</v>
          </cell>
          <cell r="B201">
            <v>3</v>
          </cell>
          <cell r="C201">
            <v>0</v>
          </cell>
          <cell r="D201">
            <v>0</v>
          </cell>
          <cell r="E201">
            <v>80.822999999999993</v>
          </cell>
          <cell r="F201">
            <v>0</v>
          </cell>
          <cell r="G201">
            <v>0</v>
          </cell>
          <cell r="H201">
            <v>0</v>
          </cell>
          <cell r="I201">
            <v>6793.9040000000005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4332.67</v>
          </cell>
          <cell r="R201">
            <v>0</v>
          </cell>
          <cell r="S201">
            <v>0</v>
          </cell>
          <cell r="T201">
            <v>154.49865290797399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516.77690388628696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897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12775.672556794299</v>
          </cell>
        </row>
        <row r="202">
          <cell r="A202" t="str">
            <v>AC=GFB001</v>
          </cell>
          <cell r="B202">
            <v>4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</row>
        <row r="203">
          <cell r="A203" t="str">
            <v>AC=GFB002</v>
          </cell>
          <cell r="B203">
            <v>5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</row>
        <row r="204">
          <cell r="A204" t="str">
            <v>AC=GFB004</v>
          </cell>
          <cell r="B204">
            <v>6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</row>
        <row r="206">
          <cell r="A206" t="str">
            <v>AC=GFDGHT</v>
          </cell>
          <cell r="B206">
            <v>8</v>
          </cell>
          <cell r="C206">
            <v>0</v>
          </cell>
          <cell r="D206">
            <v>0</v>
          </cell>
          <cell r="E206">
            <v>-112.601</v>
          </cell>
          <cell r="F206">
            <v>0</v>
          </cell>
          <cell r="G206">
            <v>0</v>
          </cell>
          <cell r="H206">
            <v>0</v>
          </cell>
          <cell r="I206">
            <v>-3472.6947</v>
          </cell>
          <cell r="J206">
            <v>0</v>
          </cell>
          <cell r="K206">
            <v>0</v>
          </cell>
          <cell r="L206">
            <v>0</v>
          </cell>
          <cell r="M206">
            <v>2.8421709430404001E-14</v>
          </cell>
          <cell r="N206">
            <v>0</v>
          </cell>
          <cell r="O206">
            <v>0</v>
          </cell>
          <cell r="P206">
            <v>0</v>
          </cell>
          <cell r="Q206">
            <v>-3060.12</v>
          </cell>
          <cell r="R206">
            <v>0</v>
          </cell>
          <cell r="S206">
            <v>0</v>
          </cell>
          <cell r="T206">
            <v>-87.391037362826594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-312.28629500975501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-590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-7635.0930323725797</v>
          </cell>
        </row>
        <row r="207">
          <cell r="A207" t="str">
            <v>AC=GFB005</v>
          </cell>
          <cell r="B207">
            <v>9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</row>
        <row r="208">
          <cell r="A208" t="str">
            <v>AC=GFB006</v>
          </cell>
          <cell r="B208">
            <v>10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</row>
        <row r="210">
          <cell r="A210" t="str">
            <v>AC=GR5000</v>
          </cell>
          <cell r="B210">
            <v>12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16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-0.25999999999999102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-1.75835729548333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-100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-86.018357295483298</v>
          </cell>
        </row>
        <row r="211">
          <cell r="A211" t="str">
            <v>AC=GR5300</v>
          </cell>
          <cell r="B211">
            <v>13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0.74209022457576201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0.74209022457576201</v>
          </cell>
        </row>
        <row r="212">
          <cell r="A212" t="str">
            <v>AC=GR5400</v>
          </cell>
          <cell r="B212">
            <v>14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</row>
        <row r="214">
          <cell r="A214" t="str">
            <v>AC=GRNAI2</v>
          </cell>
          <cell r="B214">
            <v>16</v>
          </cell>
          <cell r="C214">
            <v>0</v>
          </cell>
          <cell r="D214">
            <v>0</v>
          </cell>
          <cell r="E214">
            <v>-31.778000000000102</v>
          </cell>
          <cell r="F214">
            <v>0</v>
          </cell>
          <cell r="G214">
            <v>0</v>
          </cell>
          <cell r="H214">
            <v>0</v>
          </cell>
          <cell r="I214">
            <v>3337.2093</v>
          </cell>
          <cell r="J214">
            <v>0</v>
          </cell>
          <cell r="K214">
            <v>0</v>
          </cell>
          <cell r="L214">
            <v>0</v>
          </cell>
          <cell r="M214">
            <v>2.8421709430404001E-14</v>
          </cell>
          <cell r="N214">
            <v>0</v>
          </cell>
          <cell r="O214">
            <v>0</v>
          </cell>
          <cell r="P214">
            <v>0</v>
          </cell>
          <cell r="Q214">
            <v>1272.29</v>
          </cell>
          <cell r="R214">
            <v>0</v>
          </cell>
          <cell r="S214">
            <v>0</v>
          </cell>
          <cell r="T214">
            <v>67.107615545147397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203.47434180562399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207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5055.3032573507699</v>
          </cell>
        </row>
        <row r="215">
          <cell r="A215" t="str">
            <v>AC=GRNAI</v>
          </cell>
          <cell r="B215">
            <v>17</v>
          </cell>
          <cell r="C215">
            <v>0</v>
          </cell>
          <cell r="D215">
            <v>0</v>
          </cell>
          <cell r="E215">
            <v>-31.777999999999999</v>
          </cell>
          <cell r="F215">
            <v>0</v>
          </cell>
          <cell r="G215">
            <v>0</v>
          </cell>
          <cell r="H215">
            <v>0</v>
          </cell>
          <cell r="I215">
            <v>3337.2093</v>
          </cell>
          <cell r="J215">
            <v>0</v>
          </cell>
          <cell r="K215">
            <v>0</v>
          </cell>
          <cell r="L215">
            <v>0</v>
          </cell>
          <cell r="M215">
            <v>-5.6843418860808002E-14</v>
          </cell>
          <cell r="N215">
            <v>0</v>
          </cell>
          <cell r="O215">
            <v>0</v>
          </cell>
          <cell r="P215">
            <v>0</v>
          </cell>
          <cell r="Q215">
            <v>1272.29</v>
          </cell>
          <cell r="R215">
            <v>0</v>
          </cell>
          <cell r="S215">
            <v>0</v>
          </cell>
          <cell r="T215">
            <v>67.107615545147397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203.47434180562399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207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5055.3032573507699</v>
          </cell>
        </row>
        <row r="216">
          <cell r="A216" t="str">
            <v>RNAI hors Technique</v>
          </cell>
          <cell r="B216">
            <v>18</v>
          </cell>
          <cell r="C216">
            <v>0</v>
          </cell>
          <cell r="D216">
            <v>0</v>
          </cell>
          <cell r="E216">
            <v>-31.778000000000006</v>
          </cell>
          <cell r="F216">
            <v>0</v>
          </cell>
          <cell r="G216">
            <v>0</v>
          </cell>
          <cell r="H216">
            <v>0</v>
          </cell>
          <cell r="I216">
            <v>3337.2093000000004</v>
          </cell>
          <cell r="J216">
            <v>0</v>
          </cell>
          <cell r="K216">
            <v>0</v>
          </cell>
          <cell r="L216">
            <v>0</v>
          </cell>
          <cell r="M216">
            <v>2.8421709430404001E-14</v>
          </cell>
          <cell r="N216">
            <v>0</v>
          </cell>
          <cell r="O216">
            <v>0</v>
          </cell>
          <cell r="P216">
            <v>0</v>
          </cell>
          <cell r="Q216">
            <v>1272.2900000000002</v>
          </cell>
          <cell r="R216">
            <v>0</v>
          </cell>
          <cell r="S216">
            <v>0</v>
          </cell>
          <cell r="T216">
            <v>67.107615545147397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203.47434180562439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207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5055.3032573508126</v>
          </cell>
        </row>
        <row r="231">
          <cell r="B231">
            <v>1</v>
          </cell>
          <cell r="C231" t="str">
            <v>RU=G-ABER</v>
          </cell>
          <cell r="D231" t="str">
            <v>RU=G-ABU</v>
          </cell>
          <cell r="E231" t="str">
            <v>RU=G-BE</v>
          </cell>
          <cell r="F231" t="str">
            <v>RU=G-CENTRAL</v>
          </cell>
          <cell r="G231" t="str">
            <v>RU=G-DE</v>
          </cell>
          <cell r="H231" t="str">
            <v>RU=G-FRAR</v>
          </cell>
          <cell r="I231" t="str">
            <v>RU=G-FRMP</v>
          </cell>
          <cell r="J231" t="str">
            <v>RU=G-FULPEI</v>
          </cell>
          <cell r="K231" t="str">
            <v>RU=G-GULF</v>
          </cell>
          <cell r="L231" t="str">
            <v>RU=G-HDAR</v>
          </cell>
          <cell r="M231" t="str">
            <v>RU=G-HDBNPPI</v>
          </cell>
          <cell r="N231" t="str">
            <v>RU=G-IND</v>
          </cell>
          <cell r="O231" t="str">
            <v>RU=G-IR</v>
          </cell>
          <cell r="P231" t="str">
            <v>RU=G-ITAR</v>
          </cell>
          <cell r="Q231" t="str">
            <v>RU=G-ITBNL</v>
          </cell>
          <cell r="R231" t="str">
            <v>RU=G-ITMP</v>
          </cell>
          <cell r="S231" t="str">
            <v>RU=G-ITNAZCA</v>
          </cell>
          <cell r="T231" t="str">
            <v>RU=G-JER</v>
          </cell>
          <cell r="U231" t="str">
            <v>RU=G-LX</v>
          </cell>
          <cell r="V231" t="str">
            <v>RU=G-NL</v>
          </cell>
          <cell r="W231" t="str">
            <v>RU=G-ROM</v>
          </cell>
          <cell r="X231" t="str">
            <v>RU=G-SP</v>
          </cell>
          <cell r="Y231" t="str">
            <v>RU=G-SPGE</v>
          </cell>
          <cell r="Z231" t="str">
            <v>RU=G-ABER</v>
          </cell>
          <cell r="AA231" t="str">
            <v>RU=G-UK</v>
          </cell>
          <cell r="AB231" t="str">
            <v>RU=G-US</v>
          </cell>
          <cell r="AC231" t="str">
            <v>RU=GT-BALE2</v>
          </cell>
          <cell r="AD231" t="str">
            <v>RU=GT-FPAR</v>
          </cell>
          <cell r="AE231" t="str">
            <v>RU=GT-FPBNPPI</v>
          </cell>
          <cell r="AF231" t="str">
            <v>RU=G-REIMLUX</v>
          </cell>
          <cell r="AG231" t="str">
            <v>RU=G-REIMSP</v>
          </cell>
          <cell r="AH231" t="str">
            <v>RU=G-UKPROMO</v>
          </cell>
          <cell r="AI231" t="str">
            <v>RU=G-HUN</v>
          </cell>
          <cell r="AJ231" t="str">
            <v>RU=G-TCH</v>
          </cell>
          <cell r="AK231" t="str">
            <v>RU=G-POL</v>
          </cell>
          <cell r="AL231" t="str">
            <v>RU sum AF00100</v>
          </cell>
        </row>
        <row r="232">
          <cell r="B232">
            <v>2</v>
          </cell>
        </row>
        <row r="233">
          <cell r="A233" t="str">
            <v>AC=GPNBSOC</v>
          </cell>
          <cell r="B233">
            <v>3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-266.71800000000002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57.811660899889198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93.175942227992806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-115.73039687211801</v>
          </cell>
        </row>
        <row r="234">
          <cell r="A234" t="str">
            <v>AC=GFB001</v>
          </cell>
          <cell r="B234">
            <v>4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</row>
        <row r="235">
          <cell r="A235" t="str">
            <v>AC=GFB002</v>
          </cell>
          <cell r="B235">
            <v>5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</row>
        <row r="236">
          <cell r="A236" t="str">
            <v>AC=GFB004</v>
          </cell>
          <cell r="B236">
            <v>6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</row>
        <row r="238">
          <cell r="A238" t="str">
            <v>AC=GFDGHT</v>
          </cell>
          <cell r="B238">
            <v>8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-740.33838560000004</v>
          </cell>
          <cell r="J238">
            <v>0</v>
          </cell>
          <cell r="K238">
            <v>0</v>
          </cell>
          <cell r="L238">
            <v>0</v>
          </cell>
          <cell r="M238">
            <v>-9.2370555648812999E-14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-41.597272733452499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-211.415273689673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-993.35093202312498</v>
          </cell>
        </row>
        <row r="239">
          <cell r="A239" t="str">
            <v>AC=GFB005</v>
          </cell>
          <cell r="B239">
            <v>9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</row>
        <row r="240">
          <cell r="A240" t="str">
            <v>AC=GFB006</v>
          </cell>
          <cell r="B240">
            <v>10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</row>
        <row r="242">
          <cell r="A242" t="str">
            <v>AC=GR5000</v>
          </cell>
          <cell r="B242">
            <v>12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1.69717733803739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1.69717733803739</v>
          </cell>
        </row>
        <row r="243">
          <cell r="A243" t="str">
            <v>AC=GR5300</v>
          </cell>
          <cell r="B243">
            <v>13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0.303633862879854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0.303633862879854</v>
          </cell>
        </row>
        <row r="244">
          <cell r="A244" t="str">
            <v>AC=GR5400</v>
          </cell>
          <cell r="B244">
            <v>14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</row>
        <row r="246">
          <cell r="A246" t="str">
            <v>AC=GRNAI2</v>
          </cell>
          <cell r="B246">
            <v>16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-1007.0563856</v>
          </cell>
          <cell r="J246">
            <v>0</v>
          </cell>
          <cell r="K246">
            <v>0</v>
          </cell>
          <cell r="L246">
            <v>0</v>
          </cell>
          <cell r="M246">
            <v>3.1974423109204502E-14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16.214388166436699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-116.238520260763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-1107.08051769433</v>
          </cell>
        </row>
        <row r="247">
          <cell r="A247" t="str">
            <v>AC=GRNAI</v>
          </cell>
          <cell r="B247">
            <v>17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-1007.0563856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16.214388166436699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-116.238520260763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-1107.08051769433</v>
          </cell>
        </row>
        <row r="248">
          <cell r="A248" t="str">
            <v>RNAI hors Technique</v>
          </cell>
          <cell r="B248">
            <v>18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-1007.0563856000001</v>
          </cell>
          <cell r="J248">
            <v>0</v>
          </cell>
          <cell r="K248">
            <v>0</v>
          </cell>
          <cell r="L248">
            <v>0</v>
          </cell>
          <cell r="M248">
            <v>-9.2370555648812999E-14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16.214388166436699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-116.23852026076295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-1107.0805176943256</v>
          </cell>
        </row>
        <row r="261">
          <cell r="B261">
            <v>1</v>
          </cell>
          <cell r="C261" t="str">
            <v>OA=OA040</v>
          </cell>
          <cell r="D261" t="str">
            <v>OA sum AR160</v>
          </cell>
          <cell r="E261" t="str">
            <v>OA sum (TYPE-OA=OA06)</v>
          </cell>
          <cell r="F261" t="str">
            <v>OA sum AR012</v>
          </cell>
          <cell r="G261" t="str">
            <v>OA sum (TYPE-OA=OA00)</v>
          </cell>
          <cell r="H261" t="str">
            <v>OA sum AR013</v>
          </cell>
        </row>
        <row r="262">
          <cell r="B262">
            <v>2</v>
          </cell>
        </row>
        <row r="263">
          <cell r="A263" t="str">
            <v>AC=GPNBSOC</v>
          </cell>
          <cell r="B263">
            <v>3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-205</v>
          </cell>
          <cell r="H263">
            <v>0</v>
          </cell>
        </row>
        <row r="264">
          <cell r="A264" t="str">
            <v>AC=GFB001</v>
          </cell>
          <cell r="B264">
            <v>4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AC=GFB002</v>
          </cell>
          <cell r="B265">
            <v>5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AC=GFB004</v>
          </cell>
          <cell r="B266">
            <v>6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B267">
            <v>7</v>
          </cell>
        </row>
        <row r="268">
          <cell r="A268" t="str">
            <v>AC=GFDGHT</v>
          </cell>
          <cell r="B268">
            <v>8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AC=GFB005</v>
          </cell>
          <cell r="B269">
            <v>9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AC=GFB006</v>
          </cell>
          <cell r="B270">
            <v>10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AC=GR2000</v>
          </cell>
          <cell r="B271">
            <v>11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AC=GR5000</v>
          </cell>
          <cell r="B272">
            <v>12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432</v>
          </cell>
          <cell r="H272">
            <v>0</v>
          </cell>
        </row>
        <row r="273">
          <cell r="A273" t="str">
            <v>AC=GR5300</v>
          </cell>
          <cell r="B273">
            <v>13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-300</v>
          </cell>
          <cell r="H273">
            <v>0</v>
          </cell>
        </row>
        <row r="274">
          <cell r="A274" t="str">
            <v>AC=GR5400</v>
          </cell>
          <cell r="B274">
            <v>14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B275">
            <v>15</v>
          </cell>
        </row>
        <row r="276">
          <cell r="A276" t="str">
            <v>AC=GRNAI2</v>
          </cell>
          <cell r="B276">
            <v>16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-73</v>
          </cell>
          <cell r="H276">
            <v>0</v>
          </cell>
        </row>
        <row r="277">
          <cell r="A277" t="str">
            <v>AC=GRNAI</v>
          </cell>
          <cell r="B277">
            <v>17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-73</v>
          </cell>
          <cell r="H277">
            <v>0</v>
          </cell>
        </row>
        <row r="278">
          <cell r="A278" t="str">
            <v>RNAI hors Technique</v>
          </cell>
          <cell r="B278">
            <v>18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-73</v>
          </cell>
          <cell r="H278">
            <v>0</v>
          </cell>
        </row>
        <row r="324">
          <cell r="B324">
            <v>1</v>
          </cell>
          <cell r="C324" t="str">
            <v>OA=OA005</v>
          </cell>
          <cell r="D324" t="str">
            <v>OA=OA010</v>
          </cell>
          <cell r="E324" t="str">
            <v>OA=OA011</v>
          </cell>
          <cell r="F324" t="str">
            <v>OA=OA021</v>
          </cell>
          <cell r="G324" t="str">
            <v>OA sum AR012</v>
          </cell>
          <cell r="H324" t="str">
            <v>OA=OA030</v>
          </cell>
          <cell r="I324" t="str">
            <v>OA=OA040</v>
          </cell>
          <cell r="J324" t="str">
            <v>OA=OA060</v>
          </cell>
        </row>
        <row r="325">
          <cell r="B325">
            <v>2</v>
          </cell>
        </row>
        <row r="326">
          <cell r="A326" t="str">
            <v>AC=GPNBSOC</v>
          </cell>
          <cell r="B326">
            <v>3</v>
          </cell>
          <cell r="C326">
            <v>0</v>
          </cell>
          <cell r="D326">
            <v>340.21</v>
          </cell>
          <cell r="E326">
            <v>437.75200000000001</v>
          </cell>
          <cell r="F326">
            <v>250.36799999999999</v>
          </cell>
          <cell r="G326">
            <v>1028.33</v>
          </cell>
          <cell r="H326">
            <v>2140.85</v>
          </cell>
          <cell r="I326">
            <v>140.08199999999999</v>
          </cell>
          <cell r="J326">
            <v>4332.67</v>
          </cell>
        </row>
        <row r="327">
          <cell r="A327" t="str">
            <v>AC=GFB001</v>
          </cell>
          <cell r="B327">
            <v>4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</row>
        <row r="328">
          <cell r="A328" t="str">
            <v>AC=GFB002</v>
          </cell>
          <cell r="B328">
            <v>5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AC=GFB004</v>
          </cell>
          <cell r="B329">
            <v>6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1">
          <cell r="A331" t="str">
            <v>AC=GFDGHT</v>
          </cell>
          <cell r="B331">
            <v>8</v>
          </cell>
          <cell r="C331">
            <v>34.85</v>
          </cell>
          <cell r="D331">
            <v>-581.68700000000001</v>
          </cell>
          <cell r="E331">
            <v>-486.39</v>
          </cell>
          <cell r="F331">
            <v>-321.12700000000001</v>
          </cell>
          <cell r="G331">
            <v>-1389.204</v>
          </cell>
          <cell r="H331">
            <v>-1831.06</v>
          </cell>
          <cell r="I331">
            <v>-680.88300000000004</v>
          </cell>
          <cell r="J331">
            <v>-3060.12</v>
          </cell>
        </row>
        <row r="332">
          <cell r="A332" t="str">
            <v>AC=GFB005</v>
          </cell>
          <cell r="B332">
            <v>9</v>
          </cell>
          <cell r="C332">
            <v>-88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A333" t="str">
            <v>AC=GFB006</v>
          </cell>
          <cell r="B333">
            <v>10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</row>
        <row r="334">
          <cell r="A334" t="str">
            <v>AC=GR2000</v>
          </cell>
          <cell r="B334">
            <v>11</v>
          </cell>
          <cell r="C334">
            <v>0</v>
          </cell>
          <cell r="D334">
            <v>-83.546999999999997</v>
          </cell>
          <cell r="E334">
            <v>-53.01</v>
          </cell>
          <cell r="F334">
            <v>-20.484000000000002</v>
          </cell>
          <cell r="G334">
            <v>-157.041</v>
          </cell>
          <cell r="H334">
            <v>-136.24</v>
          </cell>
          <cell r="I334">
            <v>-74.599999999999994</v>
          </cell>
          <cell r="J334">
            <v>-321.64999999999998</v>
          </cell>
        </row>
        <row r="336">
          <cell r="A336" t="str">
            <v>AC=GR5000</v>
          </cell>
          <cell r="B336">
            <v>13</v>
          </cell>
          <cell r="C336">
            <v>0</v>
          </cell>
          <cell r="D336">
            <v>0</v>
          </cell>
          <cell r="E336">
            <v>-0.4</v>
          </cell>
          <cell r="F336">
            <v>0</v>
          </cell>
          <cell r="G336">
            <v>-0.4</v>
          </cell>
          <cell r="H336">
            <v>-2.2200000000000002</v>
          </cell>
          <cell r="I336">
            <v>-0.311</v>
          </cell>
          <cell r="J336">
            <v>-0.25999999999999102</v>
          </cell>
        </row>
        <row r="337">
          <cell r="A337" t="str">
            <v>AC=GR5300</v>
          </cell>
          <cell r="B337">
            <v>14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AC=GR5400</v>
          </cell>
          <cell r="B338">
            <v>15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40">
          <cell r="A340" t="str">
            <v>AC=GRNAI2</v>
          </cell>
          <cell r="B340">
            <v>17</v>
          </cell>
          <cell r="C340">
            <v>34.85</v>
          </cell>
          <cell r="D340">
            <v>-241.477</v>
          </cell>
          <cell r="E340">
            <v>-49.038000000000103</v>
          </cell>
          <cell r="F340">
            <v>-70.758999999999702</v>
          </cell>
          <cell r="G340">
            <v>-361.274</v>
          </cell>
          <cell r="H340">
            <v>307.57</v>
          </cell>
          <cell r="I340">
            <v>-541.11199999999997</v>
          </cell>
          <cell r="J340">
            <v>1272.29</v>
          </cell>
        </row>
        <row r="341">
          <cell r="A341" t="str">
            <v>AC=GRNAI</v>
          </cell>
          <cell r="B341">
            <v>18</v>
          </cell>
          <cell r="C341">
            <v>-53.15</v>
          </cell>
          <cell r="D341">
            <v>-241.477</v>
          </cell>
          <cell r="E341">
            <v>-49.038000000000103</v>
          </cell>
          <cell r="F341">
            <v>-70.759000000000299</v>
          </cell>
          <cell r="G341">
            <v>-361.27400000000102</v>
          </cell>
          <cell r="H341">
            <v>307.57000000000198</v>
          </cell>
          <cell r="I341">
            <v>-541.11199999999997</v>
          </cell>
          <cell r="J341">
            <v>1272.29</v>
          </cell>
        </row>
        <row r="342">
          <cell r="A342" t="str">
            <v>RNAI hors Technique</v>
          </cell>
          <cell r="B342">
            <v>19</v>
          </cell>
          <cell r="C342">
            <v>34.85</v>
          </cell>
          <cell r="D342">
            <v>-241.47700000000003</v>
          </cell>
          <cell r="E342">
            <v>-49.037999999999975</v>
          </cell>
          <cell r="F342">
            <v>-70.759000000000015</v>
          </cell>
          <cell r="G342">
            <v>-361.274</v>
          </cell>
          <cell r="H342">
            <v>307.56999999999994</v>
          </cell>
          <cell r="I342">
            <v>-541.11200000000008</v>
          </cell>
          <cell r="J342">
            <v>1272.2900000000002</v>
          </cell>
        </row>
        <row r="356">
          <cell r="B356">
            <v>1</v>
          </cell>
          <cell r="C356" t="str">
            <v>OA=OA040</v>
          </cell>
        </row>
        <row r="357">
          <cell r="B357">
            <v>2</v>
          </cell>
        </row>
        <row r="358">
          <cell r="A358" t="str">
            <v>AC=GPNBSOC</v>
          </cell>
          <cell r="B358">
            <v>3</v>
          </cell>
          <cell r="C358">
            <v>0</v>
          </cell>
        </row>
        <row r="359">
          <cell r="A359" t="str">
            <v>AC=GFB001</v>
          </cell>
          <cell r="B359">
            <v>4</v>
          </cell>
          <cell r="C359">
            <v>0</v>
          </cell>
        </row>
        <row r="360">
          <cell r="A360" t="str">
            <v>AC=GFB002</v>
          </cell>
          <cell r="B360">
            <v>5</v>
          </cell>
          <cell r="C360">
            <v>0</v>
          </cell>
        </row>
        <row r="361">
          <cell r="A361" t="str">
            <v>AC=GFB004</v>
          </cell>
          <cell r="B361">
            <v>6</v>
          </cell>
          <cell r="C361">
            <v>0</v>
          </cell>
        </row>
        <row r="363">
          <cell r="A363" t="str">
            <v>AC=GFDGHT</v>
          </cell>
          <cell r="B363">
            <v>8</v>
          </cell>
          <cell r="C363">
            <v>0</v>
          </cell>
        </row>
        <row r="364">
          <cell r="A364" t="str">
            <v>AC=GFB005</v>
          </cell>
          <cell r="B364">
            <v>9</v>
          </cell>
          <cell r="C364">
            <v>0</v>
          </cell>
        </row>
        <row r="365">
          <cell r="A365" t="str">
            <v>AC=GFB006</v>
          </cell>
          <cell r="B365">
            <v>10</v>
          </cell>
          <cell r="C365">
            <v>0</v>
          </cell>
        </row>
        <row r="366">
          <cell r="A366" t="str">
            <v>AC=GR2000</v>
          </cell>
          <cell r="B366">
            <v>11</v>
          </cell>
          <cell r="C366">
            <v>0</v>
          </cell>
        </row>
        <row r="368">
          <cell r="A368" t="str">
            <v>AC=GR5000</v>
          </cell>
          <cell r="B368">
            <v>13</v>
          </cell>
          <cell r="C368">
            <v>0</v>
          </cell>
        </row>
        <row r="369">
          <cell r="A369" t="str">
            <v>AC=GR5300</v>
          </cell>
          <cell r="B369">
            <v>14</v>
          </cell>
          <cell r="C369">
            <v>0</v>
          </cell>
        </row>
        <row r="370">
          <cell r="A370" t="str">
            <v>AC=GR5400</v>
          </cell>
          <cell r="B370">
            <v>15</v>
          </cell>
          <cell r="C370">
            <v>0</v>
          </cell>
        </row>
        <row r="372">
          <cell r="A372" t="str">
            <v>AC=GRNAI2</v>
          </cell>
          <cell r="B372">
            <v>17</v>
          </cell>
          <cell r="C372">
            <v>0</v>
          </cell>
        </row>
        <row r="373">
          <cell r="A373" t="str">
            <v>AC=GRNAI</v>
          </cell>
          <cell r="B373">
            <v>18</v>
          </cell>
          <cell r="C373">
            <v>0</v>
          </cell>
        </row>
        <row r="374">
          <cell r="A374" t="str">
            <v>RNAI hors Technique</v>
          </cell>
          <cell r="B374">
            <v>19</v>
          </cell>
          <cell r="C374">
            <v>0</v>
          </cell>
        </row>
      </sheetData>
      <sheetData sheetId="7"/>
      <sheetData sheetId="8" refreshError="1">
        <row r="11">
          <cell r="B11">
            <v>1</v>
          </cell>
          <cell r="C11" t="str">
            <v>OA=OA005</v>
          </cell>
          <cell r="D11" t="str">
            <v>OA=OA006</v>
          </cell>
          <cell r="E11" t="str">
            <v>OA=OA010</v>
          </cell>
          <cell r="F11" t="str">
            <v>OA=OA011</v>
          </cell>
          <cell r="G11" t="str">
            <v>OA=OA015</v>
          </cell>
          <cell r="H11" t="str">
            <v>OA=OA016</v>
          </cell>
          <cell r="I11" t="str">
            <v>OA=OA017</v>
          </cell>
          <cell r="J11" t="str">
            <v>OA=OA020</v>
          </cell>
          <cell r="K11" t="str">
            <v>OA=OA021</v>
          </cell>
          <cell r="L11" t="str">
            <v>OA=OA022</v>
          </cell>
          <cell r="M11" t="str">
            <v>OA=OA030</v>
          </cell>
          <cell r="N11" t="str">
            <v>OA=OA031</v>
          </cell>
          <cell r="O11" t="str">
            <v>OA=OA035</v>
          </cell>
          <cell r="P11" t="str">
            <v>OA=OA036</v>
          </cell>
          <cell r="Q11" t="str">
            <v>OA=OA040</v>
          </cell>
          <cell r="R11" t="str">
            <v>OA=OA041</v>
          </cell>
          <cell r="S11" t="str">
            <v>OA=OA060</v>
          </cell>
          <cell r="T11" t="str">
            <v>OA=OA061</v>
          </cell>
          <cell r="U11" t="str">
            <v>OA sum AR001</v>
          </cell>
        </row>
        <row r="12">
          <cell r="B12">
            <v>2</v>
          </cell>
        </row>
        <row r="13">
          <cell r="A13" t="str">
            <v>AC=GPNBSOC</v>
          </cell>
          <cell r="B13">
            <v>3</v>
          </cell>
          <cell r="C13">
            <v>85.11</v>
          </cell>
          <cell r="D13">
            <v>0</v>
          </cell>
          <cell r="E13">
            <v>30410.918528594601</v>
          </cell>
          <cell r="F13">
            <v>8775.2222448722696</v>
          </cell>
          <cell r="G13">
            <v>3692.44</v>
          </cell>
          <cell r="H13">
            <v>304.99</v>
          </cell>
          <cell r="I13">
            <v>0</v>
          </cell>
          <cell r="J13">
            <v>6410.2529014970296</v>
          </cell>
          <cell r="K13">
            <v>7928.1553733601804</v>
          </cell>
          <cell r="L13">
            <v>2014.1363115693</v>
          </cell>
          <cell r="M13">
            <v>20940.193794194001</v>
          </cell>
          <cell r="N13">
            <v>0</v>
          </cell>
          <cell r="O13">
            <v>0</v>
          </cell>
          <cell r="P13">
            <v>2192.4479999999999</v>
          </cell>
          <cell r="Q13">
            <v>16975.8833230241</v>
          </cell>
          <cell r="R13">
            <v>24903.62</v>
          </cell>
          <cell r="S13">
            <v>13604.256264604801</v>
          </cell>
          <cell r="T13">
            <v>1910.42130584192</v>
          </cell>
          <cell r="U13">
            <v>140148.048047558</v>
          </cell>
        </row>
        <row r="14">
          <cell r="A14" t="str">
            <v>AC=GFB001</v>
          </cell>
          <cell r="B14">
            <v>4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</row>
        <row r="15">
          <cell r="A15" t="str">
            <v>AC=GFB002</v>
          </cell>
          <cell r="B15">
            <v>5</v>
          </cell>
          <cell r="C15">
            <v>-2451.9989999999998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-2451.9989999999998</v>
          </cell>
        </row>
        <row r="16">
          <cell r="A16" t="str">
            <v>AC=GFB004</v>
          </cell>
          <cell r="B16">
            <v>6</v>
          </cell>
          <cell r="C16">
            <v>1614.999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1614.999</v>
          </cell>
        </row>
        <row r="17">
          <cell r="B17">
            <v>7</v>
          </cell>
        </row>
        <row r="18">
          <cell r="A18" t="str">
            <v>AC=GFDGHT</v>
          </cell>
          <cell r="B18">
            <v>8</v>
          </cell>
          <cell r="C18">
            <v>-7601.3657240000002</v>
          </cell>
          <cell r="D18">
            <v>0</v>
          </cell>
          <cell r="E18">
            <v>-26591.447112559101</v>
          </cell>
          <cell r="F18">
            <v>-6967.49998664335</v>
          </cell>
          <cell r="G18">
            <v>-4098.0460000000003</v>
          </cell>
          <cell r="H18">
            <v>-222.018</v>
          </cell>
          <cell r="I18">
            <v>0</v>
          </cell>
          <cell r="J18">
            <v>-6105.1062963107997</v>
          </cell>
          <cell r="K18">
            <v>-6995.1163439526299</v>
          </cell>
          <cell r="L18">
            <v>-1737.0462577319599</v>
          </cell>
          <cell r="M18">
            <v>-18544.944615460699</v>
          </cell>
          <cell r="N18">
            <v>-199.71700000000001</v>
          </cell>
          <cell r="O18">
            <v>0</v>
          </cell>
          <cell r="P18">
            <v>-2380.6439999999998</v>
          </cell>
          <cell r="Q18">
            <v>-6703.9796834123699</v>
          </cell>
          <cell r="R18">
            <v>-7029.0630000000001</v>
          </cell>
          <cell r="S18">
            <v>-8832.8983391540605</v>
          </cell>
          <cell r="T18">
            <v>-1185.2090298421499</v>
          </cell>
          <cell r="U18">
            <v>-105194.101389067</v>
          </cell>
        </row>
        <row r="19">
          <cell r="A19" t="str">
            <v>AC=GFB005</v>
          </cell>
          <cell r="B19">
            <v>9</v>
          </cell>
          <cell r="C19">
            <v>-5111.49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-5111.49</v>
          </cell>
        </row>
        <row r="20">
          <cell r="A20" t="str">
            <v>AC=GFB006</v>
          </cell>
          <cell r="B20">
            <v>10</v>
          </cell>
          <cell r="C20">
            <v>-202.74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-202.74</v>
          </cell>
        </row>
        <row r="21">
          <cell r="B21">
            <v>11</v>
          </cell>
        </row>
        <row r="22">
          <cell r="A22" t="str">
            <v>AC=GR5000</v>
          </cell>
          <cell r="B22">
            <v>12</v>
          </cell>
          <cell r="C22">
            <v>0</v>
          </cell>
          <cell r="D22">
            <v>0</v>
          </cell>
          <cell r="E22">
            <v>-88.862962199312705</v>
          </cell>
          <cell r="F22">
            <v>-32.702277205040097</v>
          </cell>
          <cell r="G22">
            <v>-52.65</v>
          </cell>
          <cell r="H22">
            <v>0</v>
          </cell>
          <cell r="I22">
            <v>0</v>
          </cell>
          <cell r="J22">
            <v>-36.1603757159221</v>
          </cell>
          <cell r="K22">
            <v>-31.718057273768601</v>
          </cell>
          <cell r="L22">
            <v>-13.0481099656357</v>
          </cell>
          <cell r="M22">
            <v>-62.234359671911399</v>
          </cell>
          <cell r="N22">
            <v>0</v>
          </cell>
          <cell r="O22">
            <v>0</v>
          </cell>
          <cell r="P22">
            <v>-25.003</v>
          </cell>
          <cell r="Q22">
            <v>-499.98899999999998</v>
          </cell>
          <cell r="R22">
            <v>-286.18</v>
          </cell>
          <cell r="S22">
            <v>-2.7628865979381398</v>
          </cell>
          <cell r="T22">
            <v>-2.1970217640320699</v>
          </cell>
          <cell r="U22">
            <v>-1133.5080503935601</v>
          </cell>
        </row>
        <row r="23">
          <cell r="A23" t="str">
            <v>AC=GR5300</v>
          </cell>
          <cell r="B23">
            <v>13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  <row r="24">
          <cell r="A24" t="str">
            <v>AC=GR5400</v>
          </cell>
          <cell r="B24">
            <v>14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</row>
        <row r="25">
          <cell r="B25">
            <v>15</v>
          </cell>
        </row>
        <row r="26">
          <cell r="A26" t="str">
            <v>AC=GRNAI2</v>
          </cell>
          <cell r="B26">
            <v>16</v>
          </cell>
          <cell r="C26">
            <v>-8353.2557240000006</v>
          </cell>
          <cell r="D26">
            <v>0</v>
          </cell>
          <cell r="E26">
            <v>3730.6084538361201</v>
          </cell>
          <cell r="F26">
            <v>1775.0199810238801</v>
          </cell>
          <cell r="G26">
            <v>-458.25599999999997</v>
          </cell>
          <cell r="H26">
            <v>82.971999999999994</v>
          </cell>
          <cell r="I26">
            <v>0</v>
          </cell>
          <cell r="J26">
            <v>268.98622947030901</v>
          </cell>
          <cell r="K26">
            <v>901.32097213378802</v>
          </cell>
          <cell r="L26">
            <v>264.04194387170702</v>
          </cell>
          <cell r="M26">
            <v>2333.01481906138</v>
          </cell>
          <cell r="N26">
            <v>-199.71700000000001</v>
          </cell>
          <cell r="O26">
            <v>0</v>
          </cell>
          <cell r="P26">
            <v>-213.19899999999899</v>
          </cell>
          <cell r="Q26">
            <v>9771.9146396116903</v>
          </cell>
          <cell r="R26">
            <v>17588.377</v>
          </cell>
          <cell r="S26">
            <v>4768.5950388528099</v>
          </cell>
          <cell r="T26">
            <v>723.01525423573901</v>
          </cell>
          <cell r="U26">
            <v>32983.4386080974</v>
          </cell>
        </row>
        <row r="27">
          <cell r="A27" t="str">
            <v>AC=GRNAI</v>
          </cell>
          <cell r="B27">
            <v>17</v>
          </cell>
          <cell r="C27">
            <v>-13667.485724</v>
          </cell>
          <cell r="D27">
            <v>0</v>
          </cell>
          <cell r="E27">
            <v>3730.6084538361301</v>
          </cell>
          <cell r="F27">
            <v>1775.0199810238801</v>
          </cell>
          <cell r="G27">
            <v>-458.25599999999997</v>
          </cell>
          <cell r="H27">
            <v>82.971999999999994</v>
          </cell>
          <cell r="I27">
            <v>0</v>
          </cell>
          <cell r="J27">
            <v>268.98622947030901</v>
          </cell>
          <cell r="K27">
            <v>901.32097213378802</v>
          </cell>
          <cell r="L27">
            <v>264.04194387170702</v>
          </cell>
          <cell r="M27">
            <v>2333.01481906138</v>
          </cell>
          <cell r="N27">
            <v>-199.71700000000001</v>
          </cell>
          <cell r="O27">
            <v>0</v>
          </cell>
          <cell r="P27">
            <v>-213.19900000000001</v>
          </cell>
          <cell r="Q27">
            <v>9771.9146396116794</v>
          </cell>
          <cell r="R27">
            <v>17588.377</v>
          </cell>
          <cell r="S27">
            <v>4768.5950388528099</v>
          </cell>
          <cell r="T27">
            <v>723.01525423573798</v>
          </cell>
          <cell r="U27">
            <v>27669.2086080974</v>
          </cell>
        </row>
        <row r="28">
          <cell r="A28" t="str">
            <v>RNAI hors Technique</v>
          </cell>
          <cell r="B28">
            <v>18</v>
          </cell>
          <cell r="C28">
            <v>-7516.2557240000006</v>
          </cell>
          <cell r="D28">
            <v>0</v>
          </cell>
          <cell r="E28">
            <v>3730.608453836187</v>
          </cell>
          <cell r="F28">
            <v>1775.0199810238796</v>
          </cell>
          <cell r="G28">
            <v>-458.2560000000002</v>
          </cell>
          <cell r="H28">
            <v>82.972000000000008</v>
          </cell>
          <cell r="I28">
            <v>0</v>
          </cell>
          <cell r="J28">
            <v>268.98622947030776</v>
          </cell>
          <cell r="K28">
            <v>901.32097213378188</v>
          </cell>
          <cell r="L28">
            <v>264.04194387170435</v>
          </cell>
          <cell r="M28">
            <v>2333.0148190613904</v>
          </cell>
          <cell r="N28">
            <v>-199.71700000000001</v>
          </cell>
          <cell r="O28">
            <v>0</v>
          </cell>
          <cell r="P28">
            <v>-213.1989999999999</v>
          </cell>
          <cell r="Q28">
            <v>9771.9146396117303</v>
          </cell>
          <cell r="R28">
            <v>17588.377</v>
          </cell>
          <cell r="S28">
            <v>4768.5950388528026</v>
          </cell>
          <cell r="T28">
            <v>723.01525423573798</v>
          </cell>
          <cell r="U28">
            <v>33820.438608097436</v>
          </cell>
        </row>
        <row r="41">
          <cell r="B41">
            <v>1</v>
          </cell>
          <cell r="C41" t="str">
            <v>RU=GT-TUT</v>
          </cell>
          <cell r="D41" t="str">
            <v>RU=GT-FPBNPPI</v>
          </cell>
          <cell r="E41" t="str">
            <v>RU=GT-FPAR</v>
          </cell>
          <cell r="F41" t="str">
            <v>RU=G-CENTRAL</v>
          </cell>
          <cell r="G41" t="str">
            <v>RU=G-HDBNPPI</v>
          </cell>
          <cell r="H41" t="str">
            <v>RU=G-FRMP</v>
          </cell>
          <cell r="I41" t="str">
            <v>RU=G-HDAR</v>
          </cell>
          <cell r="J41" t="str">
            <v>RU=G-FRAR</v>
          </cell>
          <cell r="K41" t="str">
            <v>RU=G-UK</v>
          </cell>
          <cell r="L41" t="str">
            <v>RU=G-DE</v>
          </cell>
          <cell r="M41" t="str">
            <v>RU=G-SP</v>
          </cell>
          <cell r="N41" t="str">
            <v>RU=G-BE</v>
          </cell>
          <cell r="O41" t="str">
            <v>RU=G-LX</v>
          </cell>
          <cell r="P41" t="str">
            <v>RU=G-ITAR</v>
          </cell>
          <cell r="Q41" t="str">
            <v>RU=G-IR</v>
          </cell>
          <cell r="R41" t="str">
            <v>RU=G-US</v>
          </cell>
          <cell r="S41" t="str">
            <v>RU=G-ITBNL</v>
          </cell>
          <cell r="T41" t="str">
            <v>RU=G-ITNAZCA</v>
          </cell>
          <cell r="U41" t="str">
            <v>RU=G-ITMP</v>
          </cell>
          <cell r="V41" t="str">
            <v>RU=G-ABU</v>
          </cell>
          <cell r="W41" t="str">
            <v>RU=G-GULF</v>
          </cell>
          <cell r="X41" t="str">
            <v>RU=G-JER</v>
          </cell>
          <cell r="Y41" t="str">
            <v>RU=G-ROM</v>
          </cell>
          <cell r="Z41" t="str">
            <v>RU=G-IND</v>
          </cell>
          <cell r="AA41" t="str">
            <v>RU=G-ABER</v>
          </cell>
          <cell r="AB41" t="str">
            <v>RU=G-REIMLUX</v>
          </cell>
          <cell r="AC41" t="str">
            <v>RU=G-REIMSP</v>
          </cell>
          <cell r="AD41" t="str">
            <v>RU=G-UKPROMO</v>
          </cell>
          <cell r="AE41" t="str">
            <v>RU=G-HUN</v>
          </cell>
          <cell r="AF41" t="str">
            <v>RU=G-TCH</v>
          </cell>
          <cell r="AG41" t="str">
            <v>RU=G-POL</v>
          </cell>
          <cell r="AH41" t="str">
            <v>RU sum AF00100</v>
          </cell>
        </row>
        <row r="42">
          <cell r="B42">
            <v>2</v>
          </cell>
        </row>
        <row r="43">
          <cell r="A43" t="str">
            <v>AC=GPNBSOC</v>
          </cell>
          <cell r="B43">
            <v>3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85.11</v>
          </cell>
          <cell r="H43">
            <v>62253.279000000002</v>
          </cell>
          <cell r="I43">
            <v>0</v>
          </cell>
          <cell r="J43">
            <v>21715.040000000001</v>
          </cell>
          <cell r="K43">
            <v>16305.6059564719</v>
          </cell>
          <cell r="L43">
            <v>16371.323</v>
          </cell>
          <cell r="M43">
            <v>4541.6400000000003</v>
          </cell>
          <cell r="N43">
            <v>2358.2280000000001</v>
          </cell>
          <cell r="O43">
            <v>712.13300000000004</v>
          </cell>
          <cell r="P43">
            <v>1656.0309999999999</v>
          </cell>
          <cell r="Q43">
            <v>466</v>
          </cell>
          <cell r="R43">
            <v>0</v>
          </cell>
          <cell r="S43">
            <v>4798.92</v>
          </cell>
          <cell r="T43">
            <v>2322.6350000000002</v>
          </cell>
          <cell r="U43">
            <v>442.68700000000001</v>
          </cell>
          <cell r="V43">
            <v>184.055698388335</v>
          </cell>
          <cell r="W43">
            <v>101.170049884881</v>
          </cell>
          <cell r="X43">
            <v>412.22909507445598</v>
          </cell>
          <cell r="Y43">
            <v>281.05897740784798</v>
          </cell>
          <cell r="Z43">
            <v>734.12102927006504</v>
          </cell>
          <cell r="AA43">
            <v>0</v>
          </cell>
          <cell r="AB43">
            <v>933.00099999999998</v>
          </cell>
          <cell r="AC43">
            <v>200.38</v>
          </cell>
          <cell r="AD43">
            <v>1517.7663230240501</v>
          </cell>
          <cell r="AE43">
            <v>375.46916441306502</v>
          </cell>
          <cell r="AF43">
            <v>252.36852720836399</v>
          </cell>
          <cell r="AG43">
            <v>1127.7962264150899</v>
          </cell>
          <cell r="AH43">
            <v>140148.048047558</v>
          </cell>
        </row>
        <row r="44">
          <cell r="A44" t="str">
            <v>AC=GFB001</v>
          </cell>
          <cell r="B44">
            <v>4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</row>
        <row r="45">
          <cell r="A45" t="str">
            <v>AC=GFB002</v>
          </cell>
          <cell r="B45">
            <v>5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-2451.9989999999998</v>
          </cell>
        </row>
        <row r="46">
          <cell r="A46" t="str">
            <v>AC=GFB004</v>
          </cell>
          <cell r="B46">
            <v>6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1614.999</v>
          </cell>
        </row>
        <row r="47">
          <cell r="B47">
            <v>7</v>
          </cell>
        </row>
        <row r="48">
          <cell r="A48" t="str">
            <v>AC=GFDGHT</v>
          </cell>
          <cell r="B48">
            <v>8</v>
          </cell>
          <cell r="C48">
            <v>0</v>
          </cell>
          <cell r="D48">
            <v>0</v>
          </cell>
          <cell r="E48">
            <v>0</v>
          </cell>
          <cell r="F48">
            <v>631.077</v>
          </cell>
          <cell r="G48">
            <v>-7732.2347239999999</v>
          </cell>
          <cell r="H48">
            <v>-31800.5690799</v>
          </cell>
          <cell r="I48">
            <v>0</v>
          </cell>
          <cell r="J48">
            <v>-19474.9244521</v>
          </cell>
          <cell r="K48">
            <v>-14802.8843069874</v>
          </cell>
          <cell r="L48">
            <v>-13330.081</v>
          </cell>
          <cell r="M48">
            <v>-4330.1580000000004</v>
          </cell>
          <cell r="N48">
            <v>-2067.9540000000002</v>
          </cell>
          <cell r="O48">
            <v>-680.22500000000002</v>
          </cell>
          <cell r="P48">
            <v>-1138.396</v>
          </cell>
          <cell r="Q48">
            <v>-591</v>
          </cell>
          <cell r="R48">
            <v>0</v>
          </cell>
          <cell r="S48">
            <v>-2208.96</v>
          </cell>
          <cell r="T48">
            <v>-1641.03</v>
          </cell>
          <cell r="U48">
            <v>-685.32500000000005</v>
          </cell>
          <cell r="V48">
            <v>-89.910092095164998</v>
          </cell>
          <cell r="W48">
            <v>-111.64161550268599</v>
          </cell>
          <cell r="X48">
            <v>-208.77663230240501</v>
          </cell>
          <cell r="Y48">
            <v>-239.62852000000001</v>
          </cell>
          <cell r="Z48">
            <v>-575.00552387571702</v>
          </cell>
          <cell r="AA48">
            <v>0</v>
          </cell>
          <cell r="AB48">
            <v>-689.19500000000005</v>
          </cell>
          <cell r="AC48">
            <v>-177</v>
          </cell>
          <cell r="AD48">
            <v>-312.42268041237099</v>
          </cell>
          <cell r="AE48">
            <v>-324.80149091057899</v>
          </cell>
          <cell r="AF48">
            <v>-206.256277270108</v>
          </cell>
          <cell r="AG48">
            <v>-906.798993710692</v>
          </cell>
          <cell r="AH48">
            <v>-105194.101389067</v>
          </cell>
        </row>
        <row r="49">
          <cell r="A49" t="str">
            <v>AC=GFB005</v>
          </cell>
          <cell r="B49">
            <v>9</v>
          </cell>
          <cell r="C49">
            <v>-4980.75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-130.74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-5111.49</v>
          </cell>
        </row>
        <row r="50">
          <cell r="A50" t="str">
            <v>AC=GFB006</v>
          </cell>
          <cell r="B50">
            <v>10</v>
          </cell>
          <cell r="C50">
            <v>-202.74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-202.74</v>
          </cell>
        </row>
        <row r="51">
          <cell r="B51">
            <v>11</v>
          </cell>
        </row>
        <row r="52">
          <cell r="A52" t="str">
            <v>AC=GR5000</v>
          </cell>
          <cell r="B52">
            <v>12</v>
          </cell>
          <cell r="C52">
            <v>0</v>
          </cell>
          <cell r="D52">
            <v>0</v>
          </cell>
          <cell r="E52">
            <v>0</v>
          </cell>
          <cell r="F52">
            <v>-249.999</v>
          </cell>
          <cell r="G52">
            <v>0</v>
          </cell>
          <cell r="H52">
            <v>-623.68399999999997</v>
          </cell>
          <cell r="I52">
            <v>0</v>
          </cell>
          <cell r="J52">
            <v>-27.45</v>
          </cell>
          <cell r="K52">
            <v>-107.963344788087</v>
          </cell>
          <cell r="L52">
            <v>-86.084999999999994</v>
          </cell>
          <cell r="M52">
            <v>-15.48</v>
          </cell>
          <cell r="N52">
            <v>0</v>
          </cell>
          <cell r="O52">
            <v>0</v>
          </cell>
          <cell r="P52">
            <v>-7.5</v>
          </cell>
          <cell r="Q52">
            <v>0</v>
          </cell>
          <cell r="R52">
            <v>0</v>
          </cell>
          <cell r="S52">
            <v>0</v>
          </cell>
          <cell r="T52">
            <v>-15</v>
          </cell>
          <cell r="U52">
            <v>0</v>
          </cell>
          <cell r="V52">
            <v>0</v>
          </cell>
          <cell r="W52">
            <v>0</v>
          </cell>
          <cell r="X52">
            <v>-0.14089347079037801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-0.20581213468346099</v>
          </cell>
          <cell r="AG52">
            <v>0</v>
          </cell>
          <cell r="AH52">
            <v>-1133.5080503935601</v>
          </cell>
        </row>
        <row r="53">
          <cell r="A53" t="str">
            <v>AC=GR5300</v>
          </cell>
          <cell r="B53">
            <v>13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</row>
        <row r="54">
          <cell r="A54" t="str">
            <v>AC=GR5400</v>
          </cell>
          <cell r="B54">
            <v>14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</row>
        <row r="55">
          <cell r="B55">
            <v>15</v>
          </cell>
        </row>
        <row r="56">
          <cell r="A56" t="str">
            <v>AC=GRNAI2</v>
          </cell>
          <cell r="B56">
            <v>16</v>
          </cell>
          <cell r="C56">
            <v>0</v>
          </cell>
          <cell r="D56">
            <v>0</v>
          </cell>
          <cell r="E56">
            <v>0</v>
          </cell>
          <cell r="F56">
            <v>381.07799999999997</v>
          </cell>
          <cell r="G56">
            <v>-7647.1247240000002</v>
          </cell>
          <cell r="H56">
            <v>29829.025920100001</v>
          </cell>
          <cell r="I56">
            <v>0</v>
          </cell>
          <cell r="J56">
            <v>2212.6655479000001</v>
          </cell>
          <cell r="K56">
            <v>1394.7583046964501</v>
          </cell>
          <cell r="L56">
            <v>2955.1570000000002</v>
          </cell>
          <cell r="M56">
            <v>196.00200000000001</v>
          </cell>
          <cell r="N56">
            <v>290.274</v>
          </cell>
          <cell r="O56">
            <v>31.908000000000001</v>
          </cell>
          <cell r="P56">
            <v>510.13499999999999</v>
          </cell>
          <cell r="Q56">
            <v>-125</v>
          </cell>
          <cell r="R56">
            <v>0</v>
          </cell>
          <cell r="S56">
            <v>2589.96</v>
          </cell>
          <cell r="T56">
            <v>666.60500000000002</v>
          </cell>
          <cell r="U56">
            <v>-242.63800000000001</v>
          </cell>
          <cell r="V56">
            <v>94.145606293169607</v>
          </cell>
          <cell r="W56">
            <v>-10.4715656178051</v>
          </cell>
          <cell r="X56">
            <v>203.31156930125999</v>
          </cell>
          <cell r="Y56">
            <v>41.430457407847797</v>
          </cell>
          <cell r="Z56">
            <v>159.11550539434799</v>
          </cell>
          <cell r="AA56">
            <v>0</v>
          </cell>
          <cell r="AB56">
            <v>243.80600000000001</v>
          </cell>
          <cell r="AC56">
            <v>23.38</v>
          </cell>
          <cell r="AD56">
            <v>1205.34364261168</v>
          </cell>
          <cell r="AE56">
            <v>50.6676735024867</v>
          </cell>
          <cell r="AF56">
            <v>45.906437803572899</v>
          </cell>
          <cell r="AG56">
            <v>220.99723270440299</v>
          </cell>
          <cell r="AH56">
            <v>32983.4386080974</v>
          </cell>
        </row>
        <row r="57">
          <cell r="A57" t="str">
            <v>AC=GRNAI</v>
          </cell>
          <cell r="B57">
            <v>17</v>
          </cell>
          <cell r="C57">
            <v>-5183.49</v>
          </cell>
          <cell r="D57">
            <v>0</v>
          </cell>
          <cell r="E57">
            <v>0</v>
          </cell>
          <cell r="F57">
            <v>381.07799999999997</v>
          </cell>
          <cell r="G57">
            <v>-7647.1247240000002</v>
          </cell>
          <cell r="H57">
            <v>29829.025920100001</v>
          </cell>
          <cell r="I57">
            <v>0</v>
          </cell>
          <cell r="J57">
            <v>2212.6655479000101</v>
          </cell>
          <cell r="K57">
            <v>1394.7583046964501</v>
          </cell>
          <cell r="L57">
            <v>2955.1570000000002</v>
          </cell>
          <cell r="M57">
            <v>196.00200000000001</v>
          </cell>
          <cell r="N57">
            <v>290.274</v>
          </cell>
          <cell r="O57">
            <v>31.907999999999902</v>
          </cell>
          <cell r="P57">
            <v>510.13499999999999</v>
          </cell>
          <cell r="Q57">
            <v>-125</v>
          </cell>
          <cell r="R57">
            <v>0</v>
          </cell>
          <cell r="S57">
            <v>2459.2199999999998</v>
          </cell>
          <cell r="T57">
            <v>666.60500000000002</v>
          </cell>
          <cell r="U57">
            <v>-242.63800000000001</v>
          </cell>
          <cell r="V57">
            <v>94.145606293169607</v>
          </cell>
          <cell r="W57">
            <v>-10.4715656178051</v>
          </cell>
          <cell r="X57">
            <v>203.31156930125999</v>
          </cell>
          <cell r="Y57">
            <v>41.430457407847797</v>
          </cell>
          <cell r="Z57">
            <v>159.11550539434799</v>
          </cell>
          <cell r="AA57">
            <v>0</v>
          </cell>
          <cell r="AB57">
            <v>243.80600000000001</v>
          </cell>
          <cell r="AC57">
            <v>23.38</v>
          </cell>
          <cell r="AD57">
            <v>1205.34364261168</v>
          </cell>
          <cell r="AE57">
            <v>50.667673502486799</v>
          </cell>
          <cell r="AF57">
            <v>45.906437803572899</v>
          </cell>
          <cell r="AG57">
            <v>220.99723270440299</v>
          </cell>
          <cell r="AH57">
            <v>27669.2086080974</v>
          </cell>
        </row>
        <row r="58">
          <cell r="A58" t="str">
            <v>RNAI hors Technique</v>
          </cell>
          <cell r="B58">
            <v>18</v>
          </cell>
          <cell r="C58">
            <v>0</v>
          </cell>
          <cell r="D58">
            <v>0</v>
          </cell>
          <cell r="E58">
            <v>0</v>
          </cell>
          <cell r="F58">
            <v>381.07799999999997</v>
          </cell>
          <cell r="G58">
            <v>-7647.1247240000002</v>
          </cell>
          <cell r="H58">
            <v>29829.025920100001</v>
          </cell>
          <cell r="I58">
            <v>0</v>
          </cell>
          <cell r="J58">
            <v>2212.665547900001</v>
          </cell>
          <cell r="K58">
            <v>1394.7583046964128</v>
          </cell>
          <cell r="L58">
            <v>2955.1570000000002</v>
          </cell>
          <cell r="M58">
            <v>196.00199999999998</v>
          </cell>
          <cell r="N58">
            <v>290.27399999999989</v>
          </cell>
          <cell r="O58">
            <v>31.908000000000015</v>
          </cell>
          <cell r="P58">
            <v>510.13499999999999</v>
          </cell>
          <cell r="Q58">
            <v>-125</v>
          </cell>
          <cell r="R58">
            <v>0</v>
          </cell>
          <cell r="S58">
            <v>2589.96</v>
          </cell>
          <cell r="T58">
            <v>666.60500000000025</v>
          </cell>
          <cell r="U58">
            <v>-242.63800000000003</v>
          </cell>
          <cell r="V58">
            <v>94.145606293170005</v>
          </cell>
          <cell r="W58">
            <v>-10.471565617804998</v>
          </cell>
          <cell r="X58">
            <v>203.31156930126059</v>
          </cell>
          <cell r="Y58">
            <v>41.430457407847967</v>
          </cell>
          <cell r="Z58">
            <v>159.11550539434802</v>
          </cell>
          <cell r="AA58">
            <v>0</v>
          </cell>
          <cell r="AB58">
            <v>243.80599999999993</v>
          </cell>
          <cell r="AC58">
            <v>23.379999999999995</v>
          </cell>
          <cell r="AD58">
            <v>1205.3436426116791</v>
          </cell>
          <cell r="AE58">
            <v>50.667673502486025</v>
          </cell>
          <cell r="AF58">
            <v>45.906437803572523</v>
          </cell>
          <cell r="AG58">
            <v>220.9972327043979</v>
          </cell>
          <cell r="AH58">
            <v>33820.438608097436</v>
          </cell>
        </row>
        <row r="71">
          <cell r="B71">
            <v>1</v>
          </cell>
          <cell r="C71" t="str">
            <v>OA=OA005</v>
          </cell>
          <cell r="D71" t="str">
            <v>OA=OA006</v>
          </cell>
          <cell r="E71" t="str">
            <v>OA=OA010</v>
          </cell>
          <cell r="F71" t="str">
            <v>OA=OA011</v>
          </cell>
          <cell r="G71" t="str">
            <v>OA=OA015</v>
          </cell>
          <cell r="H71" t="str">
            <v>OA=OA016</v>
          </cell>
          <cell r="I71" t="str">
            <v>OA=OA017</v>
          </cell>
          <cell r="J71" t="str">
            <v>OA=OA020</v>
          </cell>
          <cell r="K71" t="str">
            <v>OA=OA021</v>
          </cell>
          <cell r="L71" t="str">
            <v>OA=OA022</v>
          </cell>
          <cell r="M71" t="str">
            <v>OA=OA030</v>
          </cell>
          <cell r="N71" t="str">
            <v>OA=OA031</v>
          </cell>
          <cell r="O71" t="str">
            <v>OA=OA035</v>
          </cell>
          <cell r="P71" t="str">
            <v>OA=OA036</v>
          </cell>
          <cell r="Q71" t="str">
            <v>OA=OA040</v>
          </cell>
          <cell r="R71" t="str">
            <v>OA=OA041</v>
          </cell>
          <cell r="S71" t="str">
            <v>OA=OA060</v>
          </cell>
          <cell r="T71" t="str">
            <v>OA=OA061</v>
          </cell>
          <cell r="U71" t="str">
            <v>OA sum AR001</v>
          </cell>
        </row>
        <row r="72">
          <cell r="B72">
            <v>2</v>
          </cell>
        </row>
        <row r="73">
          <cell r="A73" t="str">
            <v>AC=GPNBSOC</v>
          </cell>
          <cell r="B73">
            <v>3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3076.03</v>
          </cell>
          <cell r="H73">
            <v>304.99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8422.2000000000007</v>
          </cell>
          <cell r="N73">
            <v>0</v>
          </cell>
          <cell r="O73">
            <v>0</v>
          </cell>
          <cell r="P73">
            <v>2192.4479999999999</v>
          </cell>
          <cell r="Q73">
            <v>14928.14</v>
          </cell>
          <cell r="R73">
            <v>24903.62</v>
          </cell>
          <cell r="S73">
            <v>6931.2510000000002</v>
          </cell>
          <cell r="T73">
            <v>1494.6</v>
          </cell>
          <cell r="U73">
            <v>62253.279000000002</v>
          </cell>
        </row>
        <row r="74">
          <cell r="A74" t="str">
            <v>AC=GFB001</v>
          </cell>
          <cell r="B74">
            <v>4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</row>
        <row r="75">
          <cell r="A75" t="str">
            <v>AC=GFB002</v>
          </cell>
          <cell r="B75">
            <v>5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A76" t="str">
            <v>AC=GFB004</v>
          </cell>
          <cell r="B76">
            <v>6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7">
          <cell r="B77">
            <v>7</v>
          </cell>
        </row>
        <row r="78">
          <cell r="A78" t="str">
            <v>AC=GFDGHT</v>
          </cell>
          <cell r="B78">
            <v>8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-3470.194</v>
          </cell>
          <cell r="H78">
            <v>-222.018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-7624.607</v>
          </cell>
          <cell r="N78">
            <v>-199.71700000000001</v>
          </cell>
          <cell r="O78">
            <v>0</v>
          </cell>
          <cell r="P78">
            <v>-2392.02</v>
          </cell>
          <cell r="Q78">
            <v>-5218.6760029999996</v>
          </cell>
          <cell r="R78">
            <v>-7321.4430000000002</v>
          </cell>
          <cell r="S78">
            <v>-4325.1363654999996</v>
          </cell>
          <cell r="T78">
            <v>-1026.7577114000001</v>
          </cell>
          <cell r="U78">
            <v>-31800.5690799</v>
          </cell>
        </row>
        <row r="79">
          <cell r="A79" t="str">
            <v>AC=GFB005</v>
          </cell>
          <cell r="B79">
            <v>9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</row>
        <row r="80">
          <cell r="A80" t="str">
            <v>AC=GFB006</v>
          </cell>
          <cell r="B80">
            <v>10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</row>
        <row r="81">
          <cell r="B81">
            <v>11</v>
          </cell>
        </row>
        <row r="82">
          <cell r="A82" t="str">
            <v>AC=GR5000</v>
          </cell>
          <cell r="B82">
            <v>12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-50.01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-12.500999999999999</v>
          </cell>
          <cell r="N82">
            <v>0</v>
          </cell>
          <cell r="O82">
            <v>0</v>
          </cell>
          <cell r="P82">
            <v>-25.003</v>
          </cell>
          <cell r="Q82">
            <v>-249.99</v>
          </cell>
          <cell r="R82">
            <v>-286.18</v>
          </cell>
          <cell r="S82">
            <v>0</v>
          </cell>
          <cell r="T82">
            <v>0</v>
          </cell>
          <cell r="U82">
            <v>-623.68399999999997</v>
          </cell>
        </row>
        <row r="83">
          <cell r="A83" t="str">
            <v>AC=GR5300</v>
          </cell>
          <cell r="B83">
            <v>13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</row>
        <row r="84">
          <cell r="A84" t="str">
            <v>AC=GR5400</v>
          </cell>
          <cell r="B84">
            <v>14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B85">
            <v>15</v>
          </cell>
        </row>
        <row r="86">
          <cell r="A86" t="str">
            <v>AC=GRNAI2</v>
          </cell>
          <cell r="B86">
            <v>16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-444.17399999999998</v>
          </cell>
          <cell r="H86">
            <v>82.971999999999994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785.09199999999998</v>
          </cell>
          <cell r="N86">
            <v>-199.71700000000001</v>
          </cell>
          <cell r="O86">
            <v>0</v>
          </cell>
          <cell r="P86">
            <v>-224.57499999999899</v>
          </cell>
          <cell r="Q86">
            <v>9459.4739969999991</v>
          </cell>
          <cell r="R86">
            <v>17295.996999999999</v>
          </cell>
          <cell r="S86">
            <v>2606.1146345000002</v>
          </cell>
          <cell r="T86">
            <v>467.84228860000002</v>
          </cell>
          <cell r="U86">
            <v>29829.025920100001</v>
          </cell>
        </row>
        <row r="87">
          <cell r="A87" t="str">
            <v>AC=GRNAI</v>
          </cell>
          <cell r="B87">
            <v>17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-444.17399999999998</v>
          </cell>
          <cell r="H87">
            <v>82.971999999999994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785.09199999999998</v>
          </cell>
          <cell r="N87">
            <v>-199.71700000000001</v>
          </cell>
          <cell r="O87">
            <v>0</v>
          </cell>
          <cell r="P87">
            <v>-224.57499999999999</v>
          </cell>
          <cell r="Q87">
            <v>9459.4739969999991</v>
          </cell>
          <cell r="R87">
            <v>17295.996999999999</v>
          </cell>
          <cell r="S87">
            <v>2606.1146345000002</v>
          </cell>
          <cell r="T87">
            <v>467.84228860000002</v>
          </cell>
          <cell r="U87">
            <v>29829.025920100001</v>
          </cell>
        </row>
        <row r="88">
          <cell r="A88" t="str">
            <v>RNAI hors Technique</v>
          </cell>
          <cell r="B88">
            <v>18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-444.17399999999975</v>
          </cell>
          <cell r="H88">
            <v>82.972000000000008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785.09200000000078</v>
          </cell>
          <cell r="N88">
            <v>-199.71700000000001</v>
          </cell>
          <cell r="O88">
            <v>0</v>
          </cell>
          <cell r="P88">
            <v>-224.5750000000001</v>
          </cell>
          <cell r="Q88">
            <v>9459.4739969999991</v>
          </cell>
          <cell r="R88">
            <v>17295.996999999999</v>
          </cell>
          <cell r="S88">
            <v>2606.1146345000006</v>
          </cell>
          <cell r="T88">
            <v>467.84228859999985</v>
          </cell>
          <cell r="U88">
            <v>29829.025920100001</v>
          </cell>
        </row>
        <row r="101">
          <cell r="B101">
            <v>1</v>
          </cell>
          <cell r="C101" t="str">
            <v>OA=OA005</v>
          </cell>
          <cell r="D101" t="str">
            <v>OA=OA006</v>
          </cell>
          <cell r="E101" t="str">
            <v>OA=OA010</v>
          </cell>
          <cell r="F101" t="str">
            <v>OA=OA011</v>
          </cell>
          <cell r="G101" t="str">
            <v>OA=OA015</v>
          </cell>
          <cell r="H101" t="str">
            <v>OA=OA016</v>
          </cell>
          <cell r="I101" t="str">
            <v>OA=OA017</v>
          </cell>
          <cell r="J101" t="str">
            <v>OA=OA020</v>
          </cell>
          <cell r="K101" t="str">
            <v>OA=OA021</v>
          </cell>
          <cell r="L101" t="str">
            <v>OA=OA022</v>
          </cell>
          <cell r="M101" t="str">
            <v>OA=OA030</v>
          </cell>
          <cell r="N101" t="str">
            <v>OA=OA035</v>
          </cell>
          <cell r="O101" t="str">
            <v>OA=OA036</v>
          </cell>
          <cell r="P101" t="str">
            <v>OA=OA040</v>
          </cell>
          <cell r="Q101" t="str">
            <v>OA=OA041</v>
          </cell>
          <cell r="R101" t="str">
            <v>OA=OA060</v>
          </cell>
          <cell r="S101" t="str">
            <v>OA=OA061</v>
          </cell>
          <cell r="T101" t="str">
            <v>OA sum AR001</v>
          </cell>
        </row>
        <row r="102">
          <cell r="B102">
            <v>2</v>
          </cell>
        </row>
        <row r="103">
          <cell r="A103" t="str">
            <v>AC=GPNBSOC</v>
          </cell>
          <cell r="B103">
            <v>3</v>
          </cell>
          <cell r="C103">
            <v>0</v>
          </cell>
          <cell r="D103">
            <v>0</v>
          </cell>
          <cell r="E103">
            <v>1171.1400000000001</v>
          </cell>
          <cell r="F103">
            <v>409.62</v>
          </cell>
          <cell r="G103">
            <v>616.41</v>
          </cell>
          <cell r="H103">
            <v>0</v>
          </cell>
          <cell r="I103">
            <v>0</v>
          </cell>
          <cell r="J103">
            <v>0</v>
          </cell>
          <cell r="K103">
            <v>1433.22</v>
          </cell>
          <cell r="L103">
            <v>0</v>
          </cell>
          <cell r="M103">
            <v>903.75</v>
          </cell>
          <cell r="N103">
            <v>0</v>
          </cell>
          <cell r="O103">
            <v>0</v>
          </cell>
          <cell r="P103">
            <v>7.5</v>
          </cell>
          <cell r="Q103">
            <v>0</v>
          </cell>
          <cell r="R103">
            <v>0</v>
          </cell>
          <cell r="S103">
            <v>0</v>
          </cell>
          <cell r="T103">
            <v>4541.6400000000003</v>
          </cell>
        </row>
        <row r="104">
          <cell r="A104" t="str">
            <v>AC=GFB001</v>
          </cell>
          <cell r="B104">
            <v>4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A105" t="str">
            <v>AC=GFB002</v>
          </cell>
          <cell r="B105">
            <v>5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A106" t="str">
            <v>AC=GFB004</v>
          </cell>
          <cell r="B106">
            <v>6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B107">
            <v>7</v>
          </cell>
        </row>
        <row r="108">
          <cell r="A108" t="str">
            <v>AC=GFDGHT</v>
          </cell>
          <cell r="B108">
            <v>8</v>
          </cell>
          <cell r="C108">
            <v>0</v>
          </cell>
          <cell r="D108">
            <v>0</v>
          </cell>
          <cell r="E108">
            <v>-1285.9290000000001</v>
          </cell>
          <cell r="F108">
            <v>-331.39800000000002</v>
          </cell>
          <cell r="G108">
            <v>-640.98</v>
          </cell>
          <cell r="H108">
            <v>0</v>
          </cell>
          <cell r="I108">
            <v>0</v>
          </cell>
          <cell r="J108">
            <v>0</v>
          </cell>
          <cell r="K108">
            <v>-1319.877</v>
          </cell>
          <cell r="L108">
            <v>0</v>
          </cell>
          <cell r="M108">
            <v>-749.99400000000003</v>
          </cell>
          <cell r="N108">
            <v>0</v>
          </cell>
          <cell r="O108">
            <v>0</v>
          </cell>
          <cell r="P108">
            <v>-1.98</v>
          </cell>
          <cell r="Q108">
            <v>0</v>
          </cell>
          <cell r="R108">
            <v>0</v>
          </cell>
          <cell r="S108">
            <v>0</v>
          </cell>
          <cell r="T108">
            <v>-4330.1580000000004</v>
          </cell>
        </row>
        <row r="109">
          <cell r="A109" t="str">
            <v>AC=GFB005</v>
          </cell>
          <cell r="B109">
            <v>9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A110" t="str">
            <v>AC=GFB006</v>
          </cell>
          <cell r="B110">
            <v>10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B111">
            <v>11</v>
          </cell>
        </row>
        <row r="112">
          <cell r="A112" t="str">
            <v>AC=GR5000</v>
          </cell>
          <cell r="B112">
            <v>12</v>
          </cell>
          <cell r="C112">
            <v>0</v>
          </cell>
          <cell r="D112">
            <v>0</v>
          </cell>
          <cell r="E112">
            <v>-5.01</v>
          </cell>
          <cell r="F112">
            <v>-1.74</v>
          </cell>
          <cell r="G112">
            <v>-2.64</v>
          </cell>
          <cell r="H112">
            <v>0</v>
          </cell>
          <cell r="I112">
            <v>0</v>
          </cell>
          <cell r="J112">
            <v>0</v>
          </cell>
          <cell r="K112">
            <v>-5.49</v>
          </cell>
          <cell r="L112">
            <v>0</v>
          </cell>
          <cell r="M112">
            <v>-0.6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-15.48</v>
          </cell>
        </row>
        <row r="113">
          <cell r="A113" t="str">
            <v>AC=GR5300</v>
          </cell>
          <cell r="B113">
            <v>13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A114" t="str">
            <v>AC=GR5400</v>
          </cell>
          <cell r="B114">
            <v>14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B115">
            <v>15</v>
          </cell>
        </row>
        <row r="116">
          <cell r="A116" t="str">
            <v>AC=GRNAI2</v>
          </cell>
          <cell r="B116">
            <v>16</v>
          </cell>
          <cell r="C116">
            <v>0</v>
          </cell>
          <cell r="D116">
            <v>0</v>
          </cell>
          <cell r="E116">
            <v>-119.79900000000001</v>
          </cell>
          <cell r="F116">
            <v>76.481999999999999</v>
          </cell>
          <cell r="G116">
            <v>-27.21</v>
          </cell>
          <cell r="H116">
            <v>0</v>
          </cell>
          <cell r="I116">
            <v>0</v>
          </cell>
          <cell r="J116">
            <v>0</v>
          </cell>
          <cell r="K116">
            <v>107.85299999999999</v>
          </cell>
          <cell r="L116">
            <v>0</v>
          </cell>
          <cell r="M116">
            <v>153.15600000000001</v>
          </cell>
          <cell r="N116">
            <v>0</v>
          </cell>
          <cell r="O116">
            <v>0</v>
          </cell>
          <cell r="P116">
            <v>5.52</v>
          </cell>
          <cell r="Q116">
            <v>0</v>
          </cell>
          <cell r="R116">
            <v>0</v>
          </cell>
          <cell r="S116">
            <v>0</v>
          </cell>
          <cell r="T116">
            <v>196.00200000000001</v>
          </cell>
        </row>
        <row r="117">
          <cell r="A117" t="str">
            <v>AC=GRNAI</v>
          </cell>
          <cell r="B117">
            <v>17</v>
          </cell>
          <cell r="C117">
            <v>0</v>
          </cell>
          <cell r="D117">
            <v>0</v>
          </cell>
          <cell r="E117">
            <v>-119.79900000000001</v>
          </cell>
          <cell r="F117">
            <v>76.481999999999999</v>
          </cell>
          <cell r="G117">
            <v>-27.21</v>
          </cell>
          <cell r="H117">
            <v>0</v>
          </cell>
          <cell r="I117">
            <v>0</v>
          </cell>
          <cell r="J117">
            <v>0</v>
          </cell>
          <cell r="K117">
            <v>107.85299999999999</v>
          </cell>
          <cell r="L117">
            <v>0</v>
          </cell>
          <cell r="M117">
            <v>153.15600000000001</v>
          </cell>
          <cell r="N117">
            <v>0</v>
          </cell>
          <cell r="O117">
            <v>0</v>
          </cell>
          <cell r="P117">
            <v>5.52</v>
          </cell>
          <cell r="Q117">
            <v>0</v>
          </cell>
          <cell r="R117">
            <v>0</v>
          </cell>
          <cell r="S117">
            <v>0</v>
          </cell>
          <cell r="T117">
            <v>196.00200000000001</v>
          </cell>
        </row>
        <row r="118">
          <cell r="A118" t="str">
            <v>RNAI hors Technique</v>
          </cell>
          <cell r="B118">
            <v>18</v>
          </cell>
          <cell r="C118">
            <v>0</v>
          </cell>
          <cell r="D118">
            <v>0</v>
          </cell>
          <cell r="E118">
            <v>-119.79899999999999</v>
          </cell>
          <cell r="F118">
            <v>76.481999999999985</v>
          </cell>
          <cell r="G118">
            <v>-27.210000000000051</v>
          </cell>
          <cell r="H118">
            <v>0</v>
          </cell>
          <cell r="I118">
            <v>0</v>
          </cell>
          <cell r="J118">
            <v>0</v>
          </cell>
          <cell r="K118">
            <v>107.85300000000008</v>
          </cell>
          <cell r="L118">
            <v>0</v>
          </cell>
          <cell r="M118">
            <v>153.15599999999998</v>
          </cell>
          <cell r="N118">
            <v>0</v>
          </cell>
          <cell r="O118">
            <v>0</v>
          </cell>
          <cell r="P118">
            <v>5.52</v>
          </cell>
          <cell r="Q118">
            <v>0</v>
          </cell>
          <cell r="R118">
            <v>0</v>
          </cell>
          <cell r="S118">
            <v>0</v>
          </cell>
          <cell r="T118">
            <v>196.00199999999998</v>
          </cell>
        </row>
        <row r="130">
          <cell r="C130" t="str">
            <v>RU=G-ABER</v>
          </cell>
          <cell r="D130" t="str">
            <v>RU=G-ABU</v>
          </cell>
          <cell r="E130" t="str">
            <v>RU=G-BE</v>
          </cell>
          <cell r="F130" t="str">
            <v>RU=G-CENTRAL</v>
          </cell>
          <cell r="G130" t="str">
            <v>RU=G-DE</v>
          </cell>
          <cell r="H130" t="str">
            <v>RU=G-FRAR</v>
          </cell>
          <cell r="I130" t="str">
            <v>RU=G-FRMP</v>
          </cell>
          <cell r="J130" t="str">
            <v>RU=G-FULPEI</v>
          </cell>
          <cell r="K130" t="str">
            <v>RU=G-GULF</v>
          </cell>
          <cell r="L130" t="str">
            <v>RU=G-HDAR</v>
          </cell>
          <cell r="M130" t="str">
            <v>RU=G-HDBNPPI</v>
          </cell>
          <cell r="N130" t="str">
            <v>RU=G-IND</v>
          </cell>
          <cell r="O130" t="str">
            <v>RU=G-IR</v>
          </cell>
          <cell r="P130" t="str">
            <v>RU=G-ITAR</v>
          </cell>
          <cell r="Q130" t="str">
            <v>RU=G-ITBNL</v>
          </cell>
          <cell r="R130" t="str">
            <v>RU=G-ITMP</v>
          </cell>
          <cell r="S130" t="str">
            <v>RU=G-ITNAZCA</v>
          </cell>
          <cell r="T130" t="str">
            <v>RU=G-JER</v>
          </cell>
          <cell r="U130" t="str">
            <v>RU=G-LX</v>
          </cell>
          <cell r="V130" t="str">
            <v>RU=G-NL</v>
          </cell>
          <cell r="W130" t="str">
            <v>RU=G-ROM</v>
          </cell>
          <cell r="X130" t="str">
            <v>RU=G-SP</v>
          </cell>
          <cell r="Y130" t="str">
            <v>RU=G-SPGE</v>
          </cell>
          <cell r="Z130" t="str">
            <v>RU=G-ABER</v>
          </cell>
          <cell r="AA130" t="str">
            <v>RU=G-UK</v>
          </cell>
          <cell r="AB130" t="str">
            <v>RU=G-US</v>
          </cell>
          <cell r="AC130" t="str">
            <v>RU=GT-BALE2</v>
          </cell>
          <cell r="AD130" t="str">
            <v>RU=GT-FPAR</v>
          </cell>
          <cell r="AE130" t="str">
            <v>RU=GT-FPBNPPI</v>
          </cell>
          <cell r="AF130" t="str">
            <v>RU=GT-TUT</v>
          </cell>
          <cell r="AG130" t="str">
            <v>RU=G-REIMLUX</v>
          </cell>
          <cell r="AH130" t="str">
            <v>RU=G-REIMSP</v>
          </cell>
          <cell r="AI130" t="str">
            <v>RU=G-UKPROMO</v>
          </cell>
          <cell r="AJ130" t="str">
            <v>RU=G-HUN</v>
          </cell>
          <cell r="AK130" t="str">
            <v>RU=G-TCH</v>
          </cell>
          <cell r="AL130" t="str">
            <v>RU=G-POL</v>
          </cell>
        </row>
        <row r="132">
          <cell r="C132">
            <v>0</v>
          </cell>
          <cell r="D132">
            <v>0</v>
          </cell>
          <cell r="E132">
            <v>1546.8779999999999</v>
          </cell>
          <cell r="F132">
            <v>0</v>
          </cell>
          <cell r="G132">
            <v>3306.1860000000001</v>
          </cell>
          <cell r="H132">
            <v>0</v>
          </cell>
          <cell r="I132">
            <v>8422.2000000000007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169</v>
          </cell>
          <cell r="P132">
            <v>0</v>
          </cell>
          <cell r="Q132">
            <v>0</v>
          </cell>
          <cell r="R132">
            <v>0</v>
          </cell>
          <cell r="S132">
            <v>2322.6350000000002</v>
          </cell>
          <cell r="T132">
            <v>40.064146620847701</v>
          </cell>
          <cell r="U132">
            <v>275.00099999999998</v>
          </cell>
          <cell r="V132">
            <v>0</v>
          </cell>
          <cell r="W132">
            <v>87.004280618311597</v>
          </cell>
          <cell r="X132">
            <v>903.75</v>
          </cell>
          <cell r="Y132">
            <v>0</v>
          </cell>
          <cell r="Z132">
            <v>0</v>
          </cell>
          <cell r="AA132">
            <v>2534.2313860252002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375.46916441306502</v>
          </cell>
          <cell r="AK132">
            <v>252.36852720836399</v>
          </cell>
          <cell r="AL132">
            <v>705.40628930817604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</row>
        <row r="137">
          <cell r="C137">
            <v>0</v>
          </cell>
          <cell r="D137">
            <v>0</v>
          </cell>
          <cell r="E137">
            <v>-1336.8689999999999</v>
          </cell>
          <cell r="F137">
            <v>40.125</v>
          </cell>
          <cell r="G137">
            <v>-2964.232</v>
          </cell>
          <cell r="H137">
            <v>0</v>
          </cell>
          <cell r="I137">
            <v>-7624.607</v>
          </cell>
          <cell r="J137">
            <v>0</v>
          </cell>
          <cell r="K137">
            <v>0</v>
          </cell>
          <cell r="L137">
            <v>0</v>
          </cell>
          <cell r="M137">
            <v>-1.13686837721616E-13</v>
          </cell>
          <cell r="N137">
            <v>0</v>
          </cell>
          <cell r="O137">
            <v>-140.4</v>
          </cell>
          <cell r="P137">
            <v>0</v>
          </cell>
          <cell r="Q137">
            <v>0</v>
          </cell>
          <cell r="R137">
            <v>0</v>
          </cell>
          <cell r="S137">
            <v>-1641.03</v>
          </cell>
          <cell r="T137">
            <v>-41.044673539518897</v>
          </cell>
          <cell r="U137">
            <v>-270.88099999999997</v>
          </cell>
          <cell r="V137">
            <v>0</v>
          </cell>
          <cell r="W137">
            <v>-71.496128418549304</v>
          </cell>
          <cell r="X137">
            <v>-749.99400000000003</v>
          </cell>
          <cell r="Y137">
            <v>0</v>
          </cell>
          <cell r="Z137">
            <v>0</v>
          </cell>
          <cell r="AA137">
            <v>-2275.58075601375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-324.80149091057899</v>
          </cell>
          <cell r="AK137">
            <v>-206.256277270108</v>
          </cell>
          <cell r="AL137">
            <v>-620.96628930817599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</row>
        <row r="139"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</row>
        <row r="141"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-15.813000000000001</v>
          </cell>
          <cell r="H141">
            <v>0</v>
          </cell>
          <cell r="I141">
            <v>-12.500999999999999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-15</v>
          </cell>
          <cell r="T141">
            <v>-2.74914089347079E-2</v>
          </cell>
          <cell r="U141">
            <v>0</v>
          </cell>
          <cell r="V141">
            <v>0</v>
          </cell>
          <cell r="W141">
            <v>0</v>
          </cell>
          <cell r="X141">
            <v>-0.6</v>
          </cell>
          <cell r="Y141">
            <v>0</v>
          </cell>
          <cell r="Z141">
            <v>0</v>
          </cell>
          <cell r="AA141">
            <v>-18.087056128293199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-0.20581213468346099</v>
          </cell>
          <cell r="AL141">
            <v>0</v>
          </cell>
        </row>
        <row r="142"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</row>
        <row r="145">
          <cell r="C145">
            <v>0</v>
          </cell>
          <cell r="D145">
            <v>0</v>
          </cell>
          <cell r="E145">
            <v>210.00899999999999</v>
          </cell>
          <cell r="F145">
            <v>40.125</v>
          </cell>
          <cell r="G145">
            <v>326.14100000000002</v>
          </cell>
          <cell r="H145">
            <v>0</v>
          </cell>
          <cell r="I145">
            <v>785.09199999999998</v>
          </cell>
          <cell r="J145">
            <v>0</v>
          </cell>
          <cell r="K145">
            <v>0</v>
          </cell>
          <cell r="L145">
            <v>0</v>
          </cell>
          <cell r="M145">
            <v>-1.34559030584569E-13</v>
          </cell>
          <cell r="N145">
            <v>0</v>
          </cell>
          <cell r="O145">
            <v>28.6</v>
          </cell>
          <cell r="P145">
            <v>0</v>
          </cell>
          <cell r="Q145">
            <v>0</v>
          </cell>
          <cell r="R145">
            <v>0</v>
          </cell>
          <cell r="S145">
            <v>666.60500000000002</v>
          </cell>
          <cell r="T145">
            <v>-1.00801832760595</v>
          </cell>
          <cell r="U145">
            <v>4.12</v>
          </cell>
          <cell r="V145">
            <v>0</v>
          </cell>
          <cell r="W145">
            <v>15.5081521997622</v>
          </cell>
          <cell r="X145">
            <v>153.15600000000001</v>
          </cell>
          <cell r="Y145">
            <v>0</v>
          </cell>
          <cell r="Z145">
            <v>0</v>
          </cell>
          <cell r="AA145">
            <v>240.56357388316101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50.6676735024867</v>
          </cell>
          <cell r="AK145">
            <v>45.906437803572899</v>
          </cell>
          <cell r="AL145">
            <v>84.440000000000097</v>
          </cell>
        </row>
        <row r="146">
          <cell r="C146">
            <v>0</v>
          </cell>
          <cell r="D146">
            <v>0</v>
          </cell>
          <cell r="E146">
            <v>210.00899999999999</v>
          </cell>
          <cell r="F146">
            <v>40.125</v>
          </cell>
          <cell r="G146">
            <v>326.14100000000002</v>
          </cell>
          <cell r="H146">
            <v>0</v>
          </cell>
          <cell r="I146">
            <v>785.09199999999998</v>
          </cell>
          <cell r="J146">
            <v>0</v>
          </cell>
          <cell r="K146">
            <v>0</v>
          </cell>
          <cell r="L146">
            <v>0</v>
          </cell>
          <cell r="M146">
            <v>-1.7763568394002501E-14</v>
          </cell>
          <cell r="N146">
            <v>0</v>
          </cell>
          <cell r="O146">
            <v>28.6</v>
          </cell>
          <cell r="P146">
            <v>0</v>
          </cell>
          <cell r="Q146">
            <v>0</v>
          </cell>
          <cell r="R146">
            <v>0</v>
          </cell>
          <cell r="S146">
            <v>666.60500000000002</v>
          </cell>
          <cell r="T146">
            <v>-1.00801832760595</v>
          </cell>
          <cell r="U146">
            <v>4.1199999999999699</v>
          </cell>
          <cell r="V146">
            <v>0</v>
          </cell>
          <cell r="W146">
            <v>15.5081521997622</v>
          </cell>
          <cell r="X146">
            <v>153.15600000000001</v>
          </cell>
          <cell r="Y146">
            <v>0</v>
          </cell>
          <cell r="Z146">
            <v>0</v>
          </cell>
          <cell r="AA146">
            <v>240.56357388316101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50.667673502486799</v>
          </cell>
          <cell r="AK146">
            <v>45.906437803572899</v>
          </cell>
          <cell r="AL146">
            <v>84.440000000000097</v>
          </cell>
        </row>
        <row r="147">
          <cell r="C147">
            <v>0</v>
          </cell>
          <cell r="D147">
            <v>0</v>
          </cell>
          <cell r="E147">
            <v>210.00900000000001</v>
          </cell>
          <cell r="F147">
            <v>40.125</v>
          </cell>
          <cell r="G147">
            <v>326.14100000000019</v>
          </cell>
          <cell r="H147">
            <v>0</v>
          </cell>
          <cell r="I147">
            <v>785.09200000000078</v>
          </cell>
          <cell r="J147">
            <v>0</v>
          </cell>
          <cell r="K147">
            <v>0</v>
          </cell>
          <cell r="L147">
            <v>0</v>
          </cell>
          <cell r="M147">
            <v>-1.13686837721616E-13</v>
          </cell>
          <cell r="N147">
            <v>0</v>
          </cell>
          <cell r="O147">
            <v>28.599999999999994</v>
          </cell>
          <cell r="P147">
            <v>0</v>
          </cell>
          <cell r="Q147">
            <v>0</v>
          </cell>
          <cell r="R147">
            <v>0</v>
          </cell>
          <cell r="S147">
            <v>666.60500000000025</v>
          </cell>
          <cell r="T147">
            <v>-1.0080183276059032</v>
          </cell>
          <cell r="U147">
            <v>4.1200000000000045</v>
          </cell>
          <cell r="V147">
            <v>0</v>
          </cell>
          <cell r="W147">
            <v>15.508152199762293</v>
          </cell>
          <cell r="X147">
            <v>153.15599999999998</v>
          </cell>
          <cell r="Y147">
            <v>0</v>
          </cell>
          <cell r="Z147">
            <v>0</v>
          </cell>
          <cell r="AA147">
            <v>240.56357388315698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50.667673502486025</v>
          </cell>
          <cell r="AK147">
            <v>45.906437803572523</v>
          </cell>
          <cell r="AL147">
            <v>84.440000000000055</v>
          </cell>
        </row>
        <row r="190">
          <cell r="B190">
            <v>1</v>
          </cell>
          <cell r="C190" t="str">
            <v>RU=GT-TUT</v>
          </cell>
          <cell r="D190" t="str">
            <v>RU=GT-FPBNPPI</v>
          </cell>
          <cell r="E190" t="str">
            <v>RU=GT-FPAR</v>
          </cell>
          <cell r="F190" t="str">
            <v>RU=G-CENTRAL</v>
          </cell>
          <cell r="G190" t="str">
            <v>RU=G-HDBNPPI</v>
          </cell>
          <cell r="H190" t="str">
            <v>RU=G-FRMP</v>
          </cell>
          <cell r="I190" t="str">
            <v>RU=G-HDAR</v>
          </cell>
          <cell r="J190" t="str">
            <v>RU=G-FRAR</v>
          </cell>
          <cell r="K190" t="str">
            <v>RU=G-UK</v>
          </cell>
          <cell r="L190" t="str">
            <v>RU=G-DE</v>
          </cell>
          <cell r="M190" t="str">
            <v>RU=G-SP</v>
          </cell>
          <cell r="N190" t="str">
            <v>RU=G-BE</v>
          </cell>
          <cell r="O190" t="str">
            <v>RU=G-LX</v>
          </cell>
          <cell r="P190" t="str">
            <v>RU=G-ITAR</v>
          </cell>
          <cell r="Q190" t="str">
            <v>RU=G-IR</v>
          </cell>
          <cell r="R190" t="str">
            <v>RU=G-US</v>
          </cell>
          <cell r="S190" t="str">
            <v>RU=G-ITBNL</v>
          </cell>
          <cell r="T190" t="str">
            <v>RU=G-ITNAZCA</v>
          </cell>
          <cell r="U190" t="str">
            <v>RU=G-ITMP</v>
          </cell>
          <cell r="V190" t="str">
            <v>RU=G-ABU</v>
          </cell>
          <cell r="W190" t="str">
            <v>RU=G-GULF</v>
          </cell>
          <cell r="X190" t="str">
            <v>RU=G-JER</v>
          </cell>
          <cell r="Y190" t="str">
            <v>RU=G-ROM</v>
          </cell>
          <cell r="Z190" t="str">
            <v>RU=G-IND</v>
          </cell>
          <cell r="AA190" t="str">
            <v>RU=G-ABER</v>
          </cell>
          <cell r="AB190" t="str">
            <v>RU=G-REIMLUX</v>
          </cell>
          <cell r="AC190" t="str">
            <v>RU=G-REIMSP</v>
          </cell>
          <cell r="AD190" t="str">
            <v>RU=G-UKPROMO</v>
          </cell>
          <cell r="AE190" t="str">
            <v>RU=G-HUN</v>
          </cell>
          <cell r="AF190" t="str">
            <v>RU=G-TCH</v>
          </cell>
          <cell r="AG190" t="str">
            <v>RU=G-POL</v>
          </cell>
          <cell r="AH190" t="str">
            <v>RU sum AF00100</v>
          </cell>
        </row>
        <row r="191">
          <cell r="B191">
            <v>2</v>
          </cell>
        </row>
        <row r="192">
          <cell r="A192" t="str">
            <v>AC=GPNBSOC</v>
          </cell>
          <cell r="B192">
            <v>3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6931.2510000000002</v>
          </cell>
          <cell r="I192">
            <v>0</v>
          </cell>
          <cell r="J192">
            <v>0</v>
          </cell>
          <cell r="K192">
            <v>412.68728522336801</v>
          </cell>
          <cell r="L192">
            <v>0</v>
          </cell>
          <cell r="M192">
            <v>0</v>
          </cell>
          <cell r="N192">
            <v>242.15100000000001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4798.92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85.865979381443296</v>
          </cell>
          <cell r="Y192">
            <v>0</v>
          </cell>
          <cell r="Z192">
            <v>0</v>
          </cell>
          <cell r="AA192">
            <v>0</v>
          </cell>
          <cell r="AB192">
            <v>933.00099999999998</v>
          </cell>
          <cell r="AC192">
            <v>200.38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13604.256264604801</v>
          </cell>
        </row>
        <row r="193">
          <cell r="A193" t="str">
            <v>AC=GFB001</v>
          </cell>
          <cell r="B193">
            <v>4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</row>
        <row r="194">
          <cell r="A194" t="str">
            <v>AC=GFB002</v>
          </cell>
          <cell r="B194">
            <v>5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</row>
        <row r="195">
          <cell r="A195" t="str">
            <v>AC=GFB004</v>
          </cell>
          <cell r="B195">
            <v>6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</row>
        <row r="197">
          <cell r="A197" t="str">
            <v>AC=GFDGHT</v>
          </cell>
          <cell r="B197">
            <v>8</v>
          </cell>
          <cell r="C197">
            <v>0</v>
          </cell>
          <cell r="D197">
            <v>0</v>
          </cell>
          <cell r="E197">
            <v>0</v>
          </cell>
          <cell r="F197">
            <v>18.876000000000001</v>
          </cell>
          <cell r="G197">
            <v>-2.8421709430404001E-14</v>
          </cell>
          <cell r="H197">
            <v>-4325.1363654999996</v>
          </cell>
          <cell r="I197">
            <v>0</v>
          </cell>
          <cell r="J197">
            <v>0</v>
          </cell>
          <cell r="K197">
            <v>-341.33104238258898</v>
          </cell>
          <cell r="L197">
            <v>0</v>
          </cell>
          <cell r="M197">
            <v>0</v>
          </cell>
          <cell r="N197">
            <v>-239.14500000000001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-2208.96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-67.219931271477705</v>
          </cell>
          <cell r="Y197">
            <v>0</v>
          </cell>
          <cell r="Z197">
            <v>0</v>
          </cell>
          <cell r="AA197">
            <v>0</v>
          </cell>
          <cell r="AB197">
            <v>-689.19500000000005</v>
          </cell>
          <cell r="AC197">
            <v>-177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-8832.8983391540605</v>
          </cell>
        </row>
        <row r="198">
          <cell r="A198" t="str">
            <v>AC=GFB005</v>
          </cell>
          <cell r="B198">
            <v>9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</row>
        <row r="199">
          <cell r="A199" t="str">
            <v>AC=GFB006</v>
          </cell>
          <cell r="B199">
            <v>10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</row>
        <row r="201">
          <cell r="A201" t="str">
            <v>AC=GR5000</v>
          </cell>
          <cell r="B201">
            <v>12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-2.7147766323024101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-4.8109965635738799E-2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-2.7628865979381398</v>
          </cell>
        </row>
        <row r="202">
          <cell r="A202" t="str">
            <v>AC=GR5300</v>
          </cell>
          <cell r="B202">
            <v>13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</row>
        <row r="203">
          <cell r="A203" t="str">
            <v>AC=GR5400</v>
          </cell>
          <cell r="B203">
            <v>14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</row>
        <row r="205">
          <cell r="A205" t="str">
            <v>AC=GRNAI2</v>
          </cell>
          <cell r="B205">
            <v>16</v>
          </cell>
          <cell r="C205">
            <v>0</v>
          </cell>
          <cell r="D205">
            <v>0</v>
          </cell>
          <cell r="E205">
            <v>0</v>
          </cell>
          <cell r="F205">
            <v>18.876000000000001</v>
          </cell>
          <cell r="G205">
            <v>4.5474735088646402E-13</v>
          </cell>
          <cell r="H205">
            <v>2606.1146345000002</v>
          </cell>
          <cell r="I205">
            <v>0</v>
          </cell>
          <cell r="J205">
            <v>0</v>
          </cell>
          <cell r="K205">
            <v>68.641466208476501</v>
          </cell>
          <cell r="L205">
            <v>0</v>
          </cell>
          <cell r="M205">
            <v>0</v>
          </cell>
          <cell r="N205">
            <v>3.0060000000000202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2589.96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18.597938144329898</v>
          </cell>
          <cell r="Y205">
            <v>0</v>
          </cell>
          <cell r="Z205">
            <v>0</v>
          </cell>
          <cell r="AA205">
            <v>0</v>
          </cell>
          <cell r="AB205">
            <v>243.80600000000001</v>
          </cell>
          <cell r="AC205">
            <v>23.38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4768.5950388528099</v>
          </cell>
        </row>
        <row r="206">
          <cell r="A206" t="str">
            <v>AC=GRNAI</v>
          </cell>
          <cell r="B206">
            <v>17</v>
          </cell>
          <cell r="C206">
            <v>0</v>
          </cell>
          <cell r="D206">
            <v>0</v>
          </cell>
          <cell r="E206">
            <v>0</v>
          </cell>
          <cell r="F206">
            <v>18.876000000000001</v>
          </cell>
          <cell r="G206">
            <v>0</v>
          </cell>
          <cell r="H206">
            <v>2606.1146345000002</v>
          </cell>
          <cell r="I206">
            <v>0</v>
          </cell>
          <cell r="J206">
            <v>0</v>
          </cell>
          <cell r="K206">
            <v>68.641466208476501</v>
          </cell>
          <cell r="L206">
            <v>0</v>
          </cell>
          <cell r="M206">
            <v>0</v>
          </cell>
          <cell r="N206">
            <v>3.0059999999999998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2589.96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18.597938144329898</v>
          </cell>
          <cell r="Y206">
            <v>0</v>
          </cell>
          <cell r="Z206">
            <v>0</v>
          </cell>
          <cell r="AA206">
            <v>0</v>
          </cell>
          <cell r="AB206">
            <v>243.80600000000001</v>
          </cell>
          <cell r="AC206">
            <v>23.38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4768.5950388528099</v>
          </cell>
        </row>
        <row r="207">
          <cell r="A207" t="str">
            <v>RNAI hors Technique</v>
          </cell>
          <cell r="B207">
            <v>18</v>
          </cell>
          <cell r="C207">
            <v>0</v>
          </cell>
          <cell r="D207">
            <v>0</v>
          </cell>
          <cell r="E207">
            <v>0</v>
          </cell>
          <cell r="F207">
            <v>18.876000000000001</v>
          </cell>
          <cell r="G207">
            <v>-2.8421709430404001E-14</v>
          </cell>
          <cell r="H207">
            <v>2606.1146345000006</v>
          </cell>
          <cell r="I207">
            <v>0</v>
          </cell>
          <cell r="J207">
            <v>0</v>
          </cell>
          <cell r="K207">
            <v>68.641466208476629</v>
          </cell>
          <cell r="L207">
            <v>0</v>
          </cell>
          <cell r="M207">
            <v>0</v>
          </cell>
          <cell r="N207">
            <v>3.0060000000000002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2589.96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18.597938144329852</v>
          </cell>
          <cell r="Y207">
            <v>0</v>
          </cell>
          <cell r="Z207">
            <v>0</v>
          </cell>
          <cell r="AA207">
            <v>0</v>
          </cell>
          <cell r="AB207">
            <v>243.80599999999993</v>
          </cell>
          <cell r="AC207">
            <v>23.379999999999995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4768.5950388528026</v>
          </cell>
        </row>
        <row r="221">
          <cell r="B221">
            <v>1</v>
          </cell>
          <cell r="C221" t="str">
            <v>RU=GT-TUT</v>
          </cell>
          <cell r="D221" t="str">
            <v>RU=GT-FPBNPPI</v>
          </cell>
          <cell r="E221" t="str">
            <v>RU=GT-FPAR</v>
          </cell>
          <cell r="F221" t="str">
            <v>RU=G-CENTRAL</v>
          </cell>
          <cell r="G221" t="str">
            <v>RU=G-HDBNPPI</v>
          </cell>
          <cell r="H221" t="str">
            <v>RU=G-FRMP</v>
          </cell>
          <cell r="I221" t="str">
            <v>RU=G-HDAR</v>
          </cell>
          <cell r="J221" t="str">
            <v>RU=G-FRAR</v>
          </cell>
          <cell r="K221" t="str">
            <v>RU=G-UK</v>
          </cell>
          <cell r="L221" t="str">
            <v>RU=G-DE</v>
          </cell>
          <cell r="M221" t="str">
            <v>RU=G-SP</v>
          </cell>
          <cell r="N221" t="str">
            <v>RU=G-BE</v>
          </cell>
          <cell r="O221" t="str">
            <v>RU=G-LX</v>
          </cell>
          <cell r="P221" t="str">
            <v>RU=G-ITAR</v>
          </cell>
          <cell r="Q221" t="str">
            <v>RU=G-IR</v>
          </cell>
          <cell r="R221" t="str">
            <v>RU=G-US</v>
          </cell>
          <cell r="S221" t="str">
            <v>RU=G-ITBNL</v>
          </cell>
          <cell r="T221" t="str">
            <v>RU=G-ITNAZCA</v>
          </cell>
          <cell r="U221" t="str">
            <v>RU=G-ITMP</v>
          </cell>
          <cell r="V221" t="str">
            <v>RU=G-ABU</v>
          </cell>
          <cell r="W221" t="str">
            <v>RU=G-GULF</v>
          </cell>
          <cell r="X221" t="str">
            <v>RU=G-JER</v>
          </cell>
          <cell r="Y221" t="str">
            <v>RU=G-ROM</v>
          </cell>
          <cell r="Z221" t="str">
            <v>RU=G-IND</v>
          </cell>
          <cell r="AA221" t="str">
            <v>RU=G-ABER</v>
          </cell>
          <cell r="AB221" t="str">
            <v>RU=G-REIMLUX</v>
          </cell>
          <cell r="AC221" t="str">
            <v>RU=G-REIMSP</v>
          </cell>
          <cell r="AD221" t="str">
            <v>RU=G-UKPROMO</v>
          </cell>
          <cell r="AE221" t="str">
            <v>RU=G-HUN</v>
          </cell>
          <cell r="AF221" t="str">
            <v>RU=G-TCH</v>
          </cell>
          <cell r="AG221" t="str">
            <v>RU=G-POL</v>
          </cell>
          <cell r="AH221" t="str">
            <v>RU sum AF00100</v>
          </cell>
        </row>
        <row r="222">
          <cell r="B222">
            <v>2</v>
          </cell>
        </row>
        <row r="223">
          <cell r="A223" t="str">
            <v>AC=GPNBSOC</v>
          </cell>
          <cell r="B223">
            <v>3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1494.6</v>
          </cell>
          <cell r="I223">
            <v>0</v>
          </cell>
          <cell r="J223">
            <v>0</v>
          </cell>
          <cell r="K223">
            <v>329.92783505154603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85.893470790378004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1910.42130584192</v>
          </cell>
        </row>
        <row r="224">
          <cell r="A224" t="str">
            <v>AC=GFB001</v>
          </cell>
          <cell r="B224">
            <v>4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</row>
        <row r="225">
          <cell r="A225" t="str">
            <v>AC=GFB002</v>
          </cell>
          <cell r="B225">
            <v>5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</row>
        <row r="226">
          <cell r="A226" t="str">
            <v>AC=GFB004</v>
          </cell>
          <cell r="B226">
            <v>6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</row>
        <row r="228">
          <cell r="A228" t="str">
            <v>AC=GFDGHT</v>
          </cell>
          <cell r="B228">
            <v>8</v>
          </cell>
          <cell r="C228">
            <v>0</v>
          </cell>
          <cell r="D228">
            <v>0</v>
          </cell>
          <cell r="E228">
            <v>0</v>
          </cell>
          <cell r="F228">
            <v>3.0630000000000002</v>
          </cell>
          <cell r="G228">
            <v>-8.8817841970012498E-14</v>
          </cell>
          <cell r="H228">
            <v>-1026.7577114000001</v>
          </cell>
          <cell r="I228">
            <v>0</v>
          </cell>
          <cell r="J228">
            <v>0</v>
          </cell>
          <cell r="K228">
            <v>-136.51775486827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-24.996563573883201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-1185.2090298421499</v>
          </cell>
        </row>
        <row r="229">
          <cell r="A229" t="str">
            <v>AC=GFB005</v>
          </cell>
          <cell r="B229">
            <v>9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</row>
        <row r="230">
          <cell r="A230" t="str">
            <v>AC=GFB006</v>
          </cell>
          <cell r="B230">
            <v>10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</row>
        <row r="232">
          <cell r="A232" t="str">
            <v>AC=GR5000</v>
          </cell>
          <cell r="B232">
            <v>12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-2.1798396334478798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-1.71821305841924E-2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-2.1970217640320699</v>
          </cell>
        </row>
        <row r="233">
          <cell r="A233" t="str">
            <v>AC=GR5300</v>
          </cell>
          <cell r="B233">
            <v>13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</row>
        <row r="234">
          <cell r="A234" t="str">
            <v>AC=GR5400</v>
          </cell>
          <cell r="B234">
            <v>14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</row>
        <row r="236">
          <cell r="A236" t="str">
            <v>AC=GRNAI2</v>
          </cell>
          <cell r="B236">
            <v>16</v>
          </cell>
          <cell r="C236">
            <v>0</v>
          </cell>
          <cell r="D236">
            <v>0</v>
          </cell>
          <cell r="E236">
            <v>0</v>
          </cell>
          <cell r="F236">
            <v>3.0630000000000002</v>
          </cell>
          <cell r="G236">
            <v>-2.30926389122033E-14</v>
          </cell>
          <cell r="H236">
            <v>467.84228860000002</v>
          </cell>
          <cell r="I236">
            <v>0</v>
          </cell>
          <cell r="J236">
            <v>0</v>
          </cell>
          <cell r="K236">
            <v>191.23024054982801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60.8797250859107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723.01525423573901</v>
          </cell>
        </row>
        <row r="237">
          <cell r="A237" t="str">
            <v>AC=GRNAI</v>
          </cell>
          <cell r="B237">
            <v>17</v>
          </cell>
          <cell r="C237">
            <v>0</v>
          </cell>
          <cell r="D237">
            <v>0</v>
          </cell>
          <cell r="E237">
            <v>0</v>
          </cell>
          <cell r="F237">
            <v>3.0630000000000002</v>
          </cell>
          <cell r="G237">
            <v>2.48689957516035E-14</v>
          </cell>
          <cell r="H237">
            <v>467.84228860000002</v>
          </cell>
          <cell r="I237">
            <v>0</v>
          </cell>
          <cell r="J237">
            <v>0</v>
          </cell>
          <cell r="K237">
            <v>191.23024054982801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60.8797250859107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723.01525423573798</v>
          </cell>
        </row>
        <row r="238">
          <cell r="A238" t="str">
            <v>RNAI hors Technique</v>
          </cell>
          <cell r="B238">
            <v>18</v>
          </cell>
          <cell r="C238">
            <v>0</v>
          </cell>
          <cell r="D238">
            <v>0</v>
          </cell>
          <cell r="E238">
            <v>0</v>
          </cell>
          <cell r="F238">
            <v>3.0630000000000002</v>
          </cell>
          <cell r="G238">
            <v>-8.8817841970012498E-14</v>
          </cell>
          <cell r="H238">
            <v>467.84228859999985</v>
          </cell>
          <cell r="I238">
            <v>0</v>
          </cell>
          <cell r="J238">
            <v>0</v>
          </cell>
          <cell r="K238">
            <v>191.23024054982815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60.879725085910607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723.01525423573798</v>
          </cell>
        </row>
        <row r="251">
          <cell r="B251">
            <v>1</v>
          </cell>
          <cell r="C251" t="str">
            <v>OA=OA040</v>
          </cell>
          <cell r="D251" t="str">
            <v>OA sum AR160</v>
          </cell>
          <cell r="E251" t="str">
            <v>OA sum (TYPE-OA=OA06)</v>
          </cell>
          <cell r="F251" t="str">
            <v>OA sum AR012</v>
          </cell>
          <cell r="G251" t="str">
            <v>OA sum (TYPE-OA=OA00)</v>
          </cell>
          <cell r="H251" t="str">
            <v>OA sum AR013</v>
          </cell>
        </row>
        <row r="252">
          <cell r="B252">
            <v>2</v>
          </cell>
        </row>
        <row r="253">
          <cell r="A253" t="str">
            <v>AC=GPNBSOC</v>
          </cell>
          <cell r="B253">
            <v>3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AC=GFB001</v>
          </cell>
          <cell r="B254">
            <v>4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AC=GFB002</v>
          </cell>
          <cell r="B255">
            <v>5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AC=GFB004</v>
          </cell>
          <cell r="B256">
            <v>6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8">
          <cell r="A258" t="str">
            <v>AC=GFDGHT</v>
          </cell>
          <cell r="B258">
            <v>8</v>
          </cell>
          <cell r="C258">
            <v>16.376999999999999</v>
          </cell>
          <cell r="D258">
            <v>316.88400000000001</v>
          </cell>
          <cell r="E258">
            <v>21.939</v>
          </cell>
          <cell r="F258">
            <v>104.883</v>
          </cell>
          <cell r="G258">
            <v>130.869</v>
          </cell>
          <cell r="H258">
            <v>40.125</v>
          </cell>
        </row>
        <row r="259">
          <cell r="A259" t="str">
            <v>AC=GFB005</v>
          </cell>
          <cell r="B259">
            <v>9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AC=GFB006</v>
          </cell>
          <cell r="B260">
            <v>10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AC=GR2000</v>
          </cell>
          <cell r="B261">
            <v>11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AC=GR5000</v>
          </cell>
          <cell r="B262">
            <v>12</v>
          </cell>
          <cell r="C262">
            <v>-249.999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AC=GR5300</v>
          </cell>
          <cell r="B263">
            <v>13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AC=GR5400</v>
          </cell>
          <cell r="B264">
            <v>14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6">
          <cell r="A266" t="str">
            <v>AC=GRNAI2</v>
          </cell>
          <cell r="B266">
            <v>16</v>
          </cell>
          <cell r="C266">
            <v>-233.62200000000001</v>
          </cell>
          <cell r="D266">
            <v>316.88400000000001</v>
          </cell>
          <cell r="E266">
            <v>21.939</v>
          </cell>
          <cell r="F266">
            <v>104.883</v>
          </cell>
          <cell r="G266">
            <v>130.869</v>
          </cell>
          <cell r="H266">
            <v>40.125</v>
          </cell>
        </row>
        <row r="267">
          <cell r="A267" t="str">
            <v>AC=GRNAI</v>
          </cell>
          <cell r="B267">
            <v>17</v>
          </cell>
          <cell r="C267">
            <v>-233.62200000000001</v>
          </cell>
          <cell r="D267">
            <v>316.88400000000001</v>
          </cell>
          <cell r="E267">
            <v>21.939</v>
          </cell>
          <cell r="F267">
            <v>104.883</v>
          </cell>
          <cell r="G267">
            <v>130.869</v>
          </cell>
          <cell r="H267">
            <v>40.125</v>
          </cell>
        </row>
        <row r="268">
          <cell r="A268" t="str">
            <v>RNAI hors Technique</v>
          </cell>
          <cell r="B268">
            <v>18</v>
          </cell>
          <cell r="C268">
            <v>-233.62199999999999</v>
          </cell>
          <cell r="D268">
            <v>316.88400000000001</v>
          </cell>
          <cell r="E268">
            <v>21.939</v>
          </cell>
          <cell r="F268">
            <v>104.883</v>
          </cell>
          <cell r="G268">
            <v>130.869</v>
          </cell>
          <cell r="H268">
            <v>40.125</v>
          </cell>
        </row>
        <row r="314">
          <cell r="B314">
            <v>1</v>
          </cell>
          <cell r="C314" t="str">
            <v>OA=OA005</v>
          </cell>
          <cell r="D314" t="str">
            <v>OA=OA010</v>
          </cell>
          <cell r="E314" t="str">
            <v>OA=OA011</v>
          </cell>
          <cell r="F314" t="str">
            <v>OA=OA021</v>
          </cell>
          <cell r="G314" t="str">
            <v>OA sum AR012</v>
          </cell>
          <cell r="H314" t="str">
            <v>OA=OA030</v>
          </cell>
          <cell r="I314" t="str">
            <v>OA=OA040</v>
          </cell>
          <cell r="J314" t="str">
            <v>OA=OA060</v>
          </cell>
        </row>
        <row r="315">
          <cell r="B315">
            <v>2</v>
          </cell>
        </row>
        <row r="316">
          <cell r="A316" t="str">
            <v>AC=GPNBSOC</v>
          </cell>
          <cell r="B316">
            <v>3</v>
          </cell>
          <cell r="C316">
            <v>0</v>
          </cell>
          <cell r="D316">
            <v>806.76800000000003</v>
          </cell>
          <cell r="E316">
            <v>333.01600000000002</v>
          </cell>
          <cell r="F316">
            <v>516.24699999999996</v>
          </cell>
          <cell r="G316">
            <v>1656.0309999999999</v>
          </cell>
          <cell r="H316">
            <v>2322.6350000000002</v>
          </cell>
          <cell r="I316">
            <v>442.68700000000001</v>
          </cell>
          <cell r="J316">
            <v>4798.92</v>
          </cell>
        </row>
        <row r="317">
          <cell r="A317" t="str">
            <v>AC=GFB001</v>
          </cell>
          <cell r="B317">
            <v>4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AC=GFB002</v>
          </cell>
          <cell r="B318">
            <v>5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</row>
        <row r="319">
          <cell r="A319" t="str">
            <v>AC=GFB004</v>
          </cell>
          <cell r="B319">
            <v>6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</row>
        <row r="321">
          <cell r="A321" t="str">
            <v>AC=GFDGHT</v>
          </cell>
          <cell r="B321">
            <v>8</v>
          </cell>
          <cell r="C321">
            <v>0</v>
          </cell>
          <cell r="D321">
            <v>-731.322</v>
          </cell>
          <cell r="E321">
            <v>-357.53399999999999</v>
          </cell>
          <cell r="F321">
            <v>-289.18299999999999</v>
          </cell>
          <cell r="G321">
            <v>-1378.039</v>
          </cell>
          <cell r="H321">
            <v>-1957.941</v>
          </cell>
          <cell r="I321">
            <v>-824.98400000000004</v>
          </cell>
          <cell r="J321">
            <v>-3012.7469999999998</v>
          </cell>
        </row>
        <row r="322">
          <cell r="A322" t="str">
            <v>AC=GFB005</v>
          </cell>
          <cell r="B322">
            <v>9</v>
          </cell>
          <cell r="C322">
            <v>-130.74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</row>
        <row r="323">
          <cell r="A323" t="str">
            <v>AC=GFB006</v>
          </cell>
          <cell r="B323">
            <v>10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AC=GR2000</v>
          </cell>
          <cell r="B324">
            <v>11</v>
          </cell>
          <cell r="C324">
            <v>0</v>
          </cell>
          <cell r="D324">
            <v>-126.17700000000001</v>
          </cell>
          <cell r="E324">
            <v>-70.915000000000006</v>
          </cell>
          <cell r="F324">
            <v>-50.509</v>
          </cell>
          <cell r="G324">
            <v>-247.601</v>
          </cell>
          <cell r="H324">
            <v>-141.15</v>
          </cell>
          <cell r="I324">
            <v>-34.174999999999997</v>
          </cell>
          <cell r="J324">
            <v>-326.50200000000001</v>
          </cell>
        </row>
        <row r="326">
          <cell r="A326" t="str">
            <v>AC=GR5000</v>
          </cell>
          <cell r="B326">
            <v>13</v>
          </cell>
          <cell r="C326">
            <v>0</v>
          </cell>
          <cell r="D326">
            <v>-3.75</v>
          </cell>
          <cell r="E326">
            <v>-1.2509999999999999</v>
          </cell>
          <cell r="F326">
            <v>-2.4990000000000001</v>
          </cell>
          <cell r="G326">
            <v>-7.5</v>
          </cell>
          <cell r="H326">
            <v>-15</v>
          </cell>
          <cell r="I326">
            <v>0</v>
          </cell>
          <cell r="J326">
            <v>0</v>
          </cell>
        </row>
        <row r="327">
          <cell r="A327" t="str">
            <v>AC=GR5300</v>
          </cell>
          <cell r="B327">
            <v>14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</row>
        <row r="328">
          <cell r="A328" t="str">
            <v>AC=GR5400</v>
          </cell>
          <cell r="B328">
            <v>15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30">
          <cell r="A330" t="str">
            <v>AC=GRNAI2</v>
          </cell>
          <cell r="B330">
            <v>17</v>
          </cell>
          <cell r="C330">
            <v>0</v>
          </cell>
          <cell r="D330">
            <v>71.696000000000197</v>
          </cell>
          <cell r="E330">
            <v>-25.768999999999998</v>
          </cell>
          <cell r="F330">
            <v>224.565</v>
          </cell>
          <cell r="G330">
            <v>270.49200000000002</v>
          </cell>
          <cell r="H330">
            <v>349.69400000000002</v>
          </cell>
          <cell r="I330">
            <v>-382.29700000000003</v>
          </cell>
          <cell r="J330">
            <v>1786.173</v>
          </cell>
        </row>
        <row r="331">
          <cell r="A331" t="str">
            <v>AC=GRNAI</v>
          </cell>
          <cell r="B331">
            <v>18</v>
          </cell>
          <cell r="C331">
            <v>-130.74</v>
          </cell>
          <cell r="D331">
            <v>71.696000000000097</v>
          </cell>
          <cell r="E331">
            <v>-25.768999999999998</v>
          </cell>
          <cell r="F331">
            <v>224.565</v>
          </cell>
          <cell r="G331">
            <v>270.49200000000002</v>
          </cell>
          <cell r="H331">
            <v>349.69400000000002</v>
          </cell>
          <cell r="I331">
            <v>-382.29700000000003</v>
          </cell>
          <cell r="J331">
            <v>1786.173</v>
          </cell>
        </row>
        <row r="332">
          <cell r="A332" t="str">
            <v>RNAI hors Technique</v>
          </cell>
          <cell r="B332">
            <v>19</v>
          </cell>
          <cell r="C332">
            <v>0</v>
          </cell>
          <cell r="D332">
            <v>71.696000000000026</v>
          </cell>
          <cell r="E332">
            <v>-25.768999999999973</v>
          </cell>
          <cell r="F332">
            <v>224.56499999999997</v>
          </cell>
          <cell r="G332">
            <v>270.49199999999996</v>
          </cell>
          <cell r="H332">
            <v>349.69400000000019</v>
          </cell>
          <cell r="I332">
            <v>-382.29700000000003</v>
          </cell>
          <cell r="J332">
            <v>1786.1730000000002</v>
          </cell>
        </row>
        <row r="346">
          <cell r="B346">
            <v>1</v>
          </cell>
          <cell r="C346" t="str">
            <v>OA=OA040</v>
          </cell>
        </row>
        <row r="347">
          <cell r="B347">
            <v>2</v>
          </cell>
        </row>
        <row r="348">
          <cell r="A348" t="str">
            <v>AC=GPNBSOC</v>
          </cell>
          <cell r="B348">
            <v>3</v>
          </cell>
          <cell r="C348">
            <v>0</v>
          </cell>
        </row>
        <row r="349">
          <cell r="A349" t="str">
            <v>AC=GFB001</v>
          </cell>
          <cell r="B349">
            <v>4</v>
          </cell>
          <cell r="C349">
            <v>0</v>
          </cell>
        </row>
        <row r="350">
          <cell r="A350" t="str">
            <v>AC=GFB002</v>
          </cell>
          <cell r="B350">
            <v>5</v>
          </cell>
          <cell r="C350">
            <v>0</v>
          </cell>
        </row>
        <row r="351">
          <cell r="A351" t="str">
            <v>AC=GFB004</v>
          </cell>
          <cell r="B351">
            <v>6</v>
          </cell>
          <cell r="C351">
            <v>0</v>
          </cell>
        </row>
        <row r="353">
          <cell r="A353" t="str">
            <v>AC=GFDGHT</v>
          </cell>
          <cell r="B353">
            <v>8</v>
          </cell>
          <cell r="C353">
            <v>-99.566999999999993</v>
          </cell>
        </row>
        <row r="354">
          <cell r="A354" t="str">
            <v>AC=GFB005</v>
          </cell>
          <cell r="B354">
            <v>9</v>
          </cell>
          <cell r="C354">
            <v>0</v>
          </cell>
        </row>
        <row r="355">
          <cell r="A355" t="str">
            <v>AC=GFB006</v>
          </cell>
          <cell r="B355">
            <v>10</v>
          </cell>
          <cell r="C355">
            <v>0</v>
          </cell>
        </row>
        <row r="356">
          <cell r="A356" t="str">
            <v>AC=GR2000</v>
          </cell>
          <cell r="B356">
            <v>11</v>
          </cell>
          <cell r="C356">
            <v>-5.5110000000000001</v>
          </cell>
        </row>
        <row r="358">
          <cell r="A358" t="str">
            <v>AC=GR5000</v>
          </cell>
          <cell r="B358">
            <v>13</v>
          </cell>
          <cell r="C358">
            <v>0</v>
          </cell>
        </row>
        <row r="359">
          <cell r="A359" t="str">
            <v>AC=GR5300</v>
          </cell>
          <cell r="B359">
            <v>14</v>
          </cell>
          <cell r="C359">
            <v>0</v>
          </cell>
        </row>
        <row r="360">
          <cell r="A360" t="str">
            <v>AC=GR5400</v>
          </cell>
          <cell r="B360">
            <v>15</v>
          </cell>
          <cell r="C360">
            <v>0</v>
          </cell>
        </row>
        <row r="362">
          <cell r="A362" t="str">
            <v>AC=GRNAI2</v>
          </cell>
          <cell r="B362">
            <v>17</v>
          </cell>
          <cell r="C362">
            <v>-99.566999999999993</v>
          </cell>
        </row>
        <row r="363">
          <cell r="A363" t="str">
            <v>AC=GRNAI</v>
          </cell>
          <cell r="B363">
            <v>18</v>
          </cell>
          <cell r="C363">
            <v>-99.566999999999993</v>
          </cell>
        </row>
        <row r="364">
          <cell r="A364" t="str">
            <v>RNAI hors Technique</v>
          </cell>
          <cell r="B364">
            <v>19</v>
          </cell>
          <cell r="C364">
            <v>-99.566999999999993</v>
          </cell>
        </row>
      </sheetData>
      <sheetData sheetId="9" refreshError="1">
        <row r="1">
          <cell r="B1">
            <v>1</v>
          </cell>
        </row>
      </sheetData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ant en GBP"/>
      <sheetName val="Variables N-1"/>
      <sheetName val="Variables Budget N"/>
      <sheetName val="Variables Estimé N"/>
      <sheetName val="Variables N"/>
      <sheetName val="Actual N-1"/>
      <sheetName val="Budget N+1"/>
      <sheetName val="Budget N"/>
      <sheetName val="Estimé N"/>
      <sheetName val="Estimé N-1"/>
      <sheetName val="libellé"/>
      <sheetName val="Presentation"/>
      <sheetName val="Presentation E vs A N-1"/>
      <sheetName val="Estimé N vs A N-1"/>
      <sheetName val="Presentation E vs E"/>
      <sheetName val="Estimé N vs Estimé N-1"/>
      <sheetName val="Presentation Bn+1 vs E"/>
      <sheetName val="Budget N+1 vs Estimé N New vers"/>
      <sheetName val="Presentation (3)"/>
      <sheetName val="Estimé N vs Budget N"/>
      <sheetName val="Presentation (4)"/>
      <sheetName val="Réalisé N vs Est alloc Tutelle"/>
      <sheetName val="comment var estimé"/>
      <sheetName val="Budget N+1 vs Estimé N"/>
      <sheetName val="Presentation (6)"/>
      <sheetName val="Presentation (5)"/>
      <sheetName val="Budget N+1 vs Budget N"/>
      <sheetName val="effet perimetre Connecté Estimé"/>
      <sheetName val="Périmètre Estimé N vs Réél N-1"/>
      <sheetName val="Périmètre Budget N+1 vs Est N"/>
      <sheetName val="Périmètre Réalisé N vs Budget 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91">
          <cell r="B191">
            <v>1</v>
          </cell>
          <cell r="C191" t="str">
            <v>RU=GT-TUT</v>
          </cell>
          <cell r="D191" t="str">
            <v>RU=GT-FPBNPPI</v>
          </cell>
          <cell r="E191" t="str">
            <v>RU=GT-FPAR</v>
          </cell>
          <cell r="F191" t="str">
            <v>RU=G-CENTRAL</v>
          </cell>
          <cell r="G191" t="str">
            <v>RU=G-HDBNPPI</v>
          </cell>
          <cell r="H191" t="str">
            <v>RU=G-FRMP</v>
          </cell>
          <cell r="I191" t="str">
            <v>RU=G-HDAR</v>
          </cell>
          <cell r="J191" t="str">
            <v>RU=G-FRAR</v>
          </cell>
          <cell r="K191" t="str">
            <v>RU=G-UK</v>
          </cell>
          <cell r="L191" t="str">
            <v>RU=G-DE</v>
          </cell>
          <cell r="M191" t="str">
            <v>RU=G-SP</v>
          </cell>
          <cell r="N191" t="str">
            <v>RU=G-BE</v>
          </cell>
          <cell r="O191" t="str">
            <v>RU=G-LX</v>
          </cell>
          <cell r="P191" t="str">
            <v>RU=G-ITAR</v>
          </cell>
          <cell r="Q191" t="str">
            <v>RU=G-IR</v>
          </cell>
          <cell r="R191" t="str">
            <v>RU=G-US</v>
          </cell>
          <cell r="S191" t="str">
            <v>RU=G-ITBNL</v>
          </cell>
          <cell r="T191" t="str">
            <v>RU=G-ITNAZCA</v>
          </cell>
          <cell r="U191" t="str">
            <v>RU=G-ITMP</v>
          </cell>
          <cell r="V191" t="str">
            <v>RU=G-ABU</v>
          </cell>
          <cell r="W191" t="str">
            <v>RU=G-GULF</v>
          </cell>
          <cell r="X191" t="str">
            <v>RU=G-JER</v>
          </cell>
          <cell r="Y191" t="str">
            <v>RU=G-ROM</v>
          </cell>
          <cell r="Z191" t="str">
            <v>RU=G-IND</v>
          </cell>
          <cell r="AA191" t="str">
            <v>RU=G-ABER</v>
          </cell>
          <cell r="AB191" t="str">
            <v>RU sum AF00100</v>
          </cell>
        </row>
        <row r="192">
          <cell r="B192">
            <v>2</v>
          </cell>
        </row>
        <row r="193">
          <cell r="A193" t="str">
            <v>AC=GPNBSOC</v>
          </cell>
          <cell r="B193">
            <v>3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20443</v>
          </cell>
          <cell r="I193">
            <v>0</v>
          </cell>
          <cell r="J193">
            <v>0</v>
          </cell>
          <cell r="K193">
            <v>1992.18413714286</v>
          </cell>
          <cell r="L193">
            <v>0</v>
          </cell>
          <cell r="M193">
            <v>0</v>
          </cell>
          <cell r="N193">
            <v>339.89499999999998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22391.97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657.33325714285695</v>
          </cell>
          <cell r="Y193">
            <v>0</v>
          </cell>
          <cell r="Z193">
            <v>0</v>
          </cell>
          <cell r="AA193">
            <v>0</v>
          </cell>
          <cell r="AB193">
            <v>45824.382394285698</v>
          </cell>
        </row>
        <row r="194">
          <cell r="A194" t="str">
            <v>AC=GFB001</v>
          </cell>
          <cell r="B194">
            <v>4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</row>
        <row r="195">
          <cell r="A195" t="str">
            <v>AC=GFB002</v>
          </cell>
          <cell r="B195">
            <v>5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</row>
        <row r="196">
          <cell r="A196" t="str">
            <v>AC=GFB004</v>
          </cell>
          <cell r="B196">
            <v>6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</row>
        <row r="197">
          <cell r="B197">
            <v>7</v>
          </cell>
        </row>
        <row r="198">
          <cell r="A198" t="str">
            <v>AC=GFDGHT</v>
          </cell>
          <cell r="B198">
            <v>8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5.0093262871087103E-13</v>
          </cell>
          <cell r="H198">
            <v>-13774.649530000001</v>
          </cell>
          <cell r="I198">
            <v>0</v>
          </cell>
          <cell r="J198">
            <v>0</v>
          </cell>
          <cell r="K198">
            <v>-1586.83968</v>
          </cell>
          <cell r="L198">
            <v>-7.5364E-2</v>
          </cell>
          <cell r="M198">
            <v>0</v>
          </cell>
          <cell r="N198">
            <v>-248.52600000000001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-12372.95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-404.16807405714297</v>
          </cell>
          <cell r="Y198">
            <v>0</v>
          </cell>
          <cell r="Z198">
            <v>0</v>
          </cell>
          <cell r="AA198">
            <v>0</v>
          </cell>
          <cell r="AB198">
            <v>-28387.208648057102</v>
          </cell>
        </row>
        <row r="199">
          <cell r="A199" t="str">
            <v>AC=GFB005</v>
          </cell>
          <cell r="B199">
            <v>9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</row>
        <row r="200">
          <cell r="A200" t="str">
            <v>AC=GFB006</v>
          </cell>
          <cell r="B200">
            <v>10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</row>
        <row r="201">
          <cell r="B201">
            <v>11</v>
          </cell>
        </row>
        <row r="202">
          <cell r="A202" t="str">
            <v>AC=GR5000</v>
          </cell>
          <cell r="B202">
            <v>12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-4.5910628571428598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-4.5910628571428598</v>
          </cell>
        </row>
        <row r="203">
          <cell r="A203" t="str">
            <v>AC=GR5300</v>
          </cell>
          <cell r="B203">
            <v>13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</row>
        <row r="204">
          <cell r="A204" t="str">
            <v>AC=GR5400</v>
          </cell>
          <cell r="B204">
            <v>14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</row>
        <row r="205">
          <cell r="B205">
            <v>15</v>
          </cell>
        </row>
        <row r="206">
          <cell r="A206" t="str">
            <v>AC=GRNAI2</v>
          </cell>
          <cell r="B206">
            <v>16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2.7355895326763898E-13</v>
          </cell>
          <cell r="H206">
            <v>6668.3504700000003</v>
          </cell>
          <cell r="I206">
            <v>0</v>
          </cell>
          <cell r="J206">
            <v>0</v>
          </cell>
          <cell r="K206">
            <v>400.75339428571402</v>
          </cell>
          <cell r="L206">
            <v>-7.5364E-2</v>
          </cell>
          <cell r="M206">
            <v>0</v>
          </cell>
          <cell r="N206">
            <v>91.369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10019.02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253.16518308571401</v>
          </cell>
          <cell r="Y206">
            <v>0</v>
          </cell>
          <cell r="Z206">
            <v>0</v>
          </cell>
          <cell r="AA206">
            <v>0</v>
          </cell>
          <cell r="AB206">
            <v>17432.582683371402</v>
          </cell>
        </row>
        <row r="207">
          <cell r="A207" t="str">
            <v>AC=GRNAI</v>
          </cell>
          <cell r="B207">
            <v>17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1.81188397618826E-13</v>
          </cell>
          <cell r="H207">
            <v>6668.3504700000003</v>
          </cell>
          <cell r="I207">
            <v>0</v>
          </cell>
          <cell r="J207">
            <v>0</v>
          </cell>
          <cell r="K207">
            <v>400.75339428571499</v>
          </cell>
          <cell r="L207">
            <v>-7.5364E-2</v>
          </cell>
          <cell r="M207">
            <v>0</v>
          </cell>
          <cell r="N207">
            <v>91.369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10019.02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253.16518308571401</v>
          </cell>
          <cell r="Y207">
            <v>0</v>
          </cell>
          <cell r="Z207">
            <v>0</v>
          </cell>
          <cell r="AA207">
            <v>0</v>
          </cell>
          <cell r="AB207">
            <v>17432.582683371402</v>
          </cell>
        </row>
        <row r="208">
          <cell r="A208" t="str">
            <v>RNAI hors Technique</v>
          </cell>
          <cell r="B208">
            <v>18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5.0093262871087103E-13</v>
          </cell>
          <cell r="H208">
            <v>6668.3504699999994</v>
          </cell>
          <cell r="I208">
            <v>0</v>
          </cell>
          <cell r="J208">
            <v>0</v>
          </cell>
          <cell r="K208">
            <v>400.75339428571709</v>
          </cell>
          <cell r="L208">
            <v>-7.5364E-2</v>
          </cell>
          <cell r="M208">
            <v>0</v>
          </cell>
          <cell r="N208">
            <v>91.368999999999971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10019.02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253.16518308571398</v>
          </cell>
          <cell r="Y208">
            <v>0</v>
          </cell>
          <cell r="Z208">
            <v>0</v>
          </cell>
          <cell r="AA208">
            <v>0</v>
          </cell>
          <cell r="AB208">
            <v>17432.582683371453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N+1"/>
      <sheetName val="Presentation"/>
      <sheetName val="Actual N-1"/>
      <sheetName val="Estimé N"/>
      <sheetName val="Budget N"/>
      <sheetName val="Estimé précédent N"/>
      <sheetName val="GBP"/>
      <sheetName val="Analyse hors frais de siège"/>
      <sheetName val="Presentation (2)"/>
      <sheetName val="Estimé N vs N-1"/>
      <sheetName val="Presentation (4)"/>
      <sheetName val="Estimé N vs Budget N"/>
      <sheetName val="Presentation (5)"/>
      <sheetName val="Estimé N vs Estimé N-1"/>
      <sheetName val="Presentation (6)"/>
      <sheetName val="Estimé N vs Estimé précédent 82"/>
      <sheetName val="Périmètre Estimé N vs N-1"/>
      <sheetName val="Périmètre Estimé N vs Budget"/>
    </sheetNames>
    <sheetDataSet>
      <sheetData sheetId="0" refreshError="1"/>
      <sheetData sheetId="1" refreshError="1"/>
      <sheetData sheetId="2" refreshError="1"/>
      <sheetData sheetId="3" refreshError="1">
        <row r="131">
          <cell r="B131">
            <v>1</v>
          </cell>
          <cell r="C131" t="str">
            <v>RU=G-ABER</v>
          </cell>
          <cell r="D131" t="str">
            <v>RU=G-ABU</v>
          </cell>
          <cell r="E131" t="str">
            <v>RU=G-BE</v>
          </cell>
          <cell r="F131" t="str">
            <v>RU=G-CENTRAL</v>
          </cell>
          <cell r="G131" t="str">
            <v>RU=G-DE</v>
          </cell>
          <cell r="H131" t="str">
            <v>RU=G-FRAR</v>
          </cell>
          <cell r="I131" t="str">
            <v>RU=G-FRMP</v>
          </cell>
          <cell r="J131" t="str">
            <v>RU=G-FULPEI</v>
          </cell>
          <cell r="K131" t="str">
            <v>RU=G-GULF</v>
          </cell>
          <cell r="L131" t="str">
            <v>RU=G-HDAR</v>
          </cell>
          <cell r="M131" t="str">
            <v>RU=G-HDBNPPI</v>
          </cell>
          <cell r="N131" t="str">
            <v>RU=G-IND</v>
          </cell>
          <cell r="O131" t="str">
            <v>RU=G-IR</v>
          </cell>
          <cell r="P131" t="str">
            <v>RU=G-ITAR</v>
          </cell>
          <cell r="Q131" t="str">
            <v>RU=G-ITBNL</v>
          </cell>
          <cell r="R131" t="str">
            <v>RU=G-ITMP</v>
          </cell>
          <cell r="S131" t="str">
            <v>RU=G-ITNAZCA</v>
          </cell>
          <cell r="T131" t="str">
            <v>RU=G-JER</v>
          </cell>
          <cell r="U131" t="str">
            <v>RU=G-LX</v>
          </cell>
          <cell r="V131" t="str">
            <v>RU=G-NL</v>
          </cell>
          <cell r="W131" t="str">
            <v>RU=G-ROM</v>
          </cell>
          <cell r="X131" t="str">
            <v>RU=G-SP</v>
          </cell>
          <cell r="Y131" t="str">
            <v>RU=G-SPGE</v>
          </cell>
          <cell r="Z131" t="str">
            <v>RU=G-UK</v>
          </cell>
          <cell r="AA131" t="str">
            <v>RU=G-US</v>
          </cell>
          <cell r="AB131" t="str">
            <v>RU=GT-BALE2</v>
          </cell>
          <cell r="AC131" t="str">
            <v>RU=GT-FPAR</v>
          </cell>
          <cell r="AD131" t="str">
            <v>RU=GT-FPBNPPI</v>
          </cell>
          <cell r="AE131" t="str">
            <v>RU sum AF00100</v>
          </cell>
        </row>
        <row r="132">
          <cell r="B132">
            <v>2</v>
          </cell>
        </row>
        <row r="133">
          <cell r="A133" t="str">
            <v>AC=GPNBSOC</v>
          </cell>
          <cell r="B133">
            <v>3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</row>
        <row r="134">
          <cell r="A134" t="str">
            <v>AC=GFB001</v>
          </cell>
          <cell r="B134">
            <v>4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</row>
        <row r="135">
          <cell r="A135" t="str">
            <v>AC=GFB002</v>
          </cell>
          <cell r="B135">
            <v>5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</row>
        <row r="136">
          <cell r="A136" t="str">
            <v>AC=GFB004</v>
          </cell>
          <cell r="B136">
            <v>6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</row>
        <row r="137">
          <cell r="B137">
            <v>7</v>
          </cell>
        </row>
        <row r="138">
          <cell r="A138" t="str">
            <v>AC=GFDGHT</v>
          </cell>
          <cell r="B138">
            <v>8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</row>
        <row r="139">
          <cell r="A139" t="str">
            <v>AC=GFB005</v>
          </cell>
          <cell r="B139">
            <v>9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</row>
        <row r="140">
          <cell r="A140" t="str">
            <v>AC=GFB006</v>
          </cell>
          <cell r="B140">
            <v>10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</row>
        <row r="141">
          <cell r="B141">
            <v>11</v>
          </cell>
        </row>
        <row r="142">
          <cell r="A142" t="str">
            <v>AC=GR5000</v>
          </cell>
          <cell r="B142">
            <v>12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</row>
        <row r="143">
          <cell r="A143" t="str">
            <v>AC=GR5300</v>
          </cell>
          <cell r="B143">
            <v>13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</row>
        <row r="144">
          <cell r="A144" t="str">
            <v>AC=GR5400</v>
          </cell>
          <cell r="B144">
            <v>14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</row>
        <row r="145">
          <cell r="B145">
            <v>15</v>
          </cell>
        </row>
        <row r="146">
          <cell r="A146" t="str">
            <v>AC=GRNAI2</v>
          </cell>
          <cell r="B146">
            <v>16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</row>
        <row r="147">
          <cell r="A147" t="str">
            <v>AC=GRNAI</v>
          </cell>
          <cell r="B147">
            <v>17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</row>
        <row r="148">
          <cell r="A148" t="str">
            <v>RNAI hors Technique</v>
          </cell>
          <cell r="B148">
            <v>18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</row>
        <row r="162">
          <cell r="B162">
            <v>1</v>
          </cell>
          <cell r="C162" t="str">
            <v>RU=G-ABER</v>
          </cell>
          <cell r="D162" t="str">
            <v>RU=G-ABU</v>
          </cell>
          <cell r="E162" t="str">
            <v>RU=G-BE</v>
          </cell>
          <cell r="F162" t="str">
            <v>RU=G-CENTRAL</v>
          </cell>
          <cell r="G162" t="str">
            <v>RU=G-DE</v>
          </cell>
          <cell r="H162" t="str">
            <v>RU=G-FRAR</v>
          </cell>
          <cell r="I162" t="str">
            <v>RU=G-FRMP</v>
          </cell>
          <cell r="J162" t="str">
            <v>RU=G-FULPEI</v>
          </cell>
          <cell r="K162" t="str">
            <v>RU=G-GULF</v>
          </cell>
          <cell r="L162" t="str">
            <v>RU=G-HDAR</v>
          </cell>
          <cell r="M162" t="str">
            <v>RU=G-HDBNPPI</v>
          </cell>
          <cell r="N162" t="str">
            <v>RU=G-IND</v>
          </cell>
          <cell r="O162" t="str">
            <v>RU=G-IR</v>
          </cell>
          <cell r="P162" t="str">
            <v>RU=G-ITAR</v>
          </cell>
          <cell r="Q162" t="str">
            <v>RU=G-ITBNL</v>
          </cell>
          <cell r="R162" t="str">
            <v>RU=G-ITMP</v>
          </cell>
          <cell r="S162" t="str">
            <v>RU=G-ITNAZCA</v>
          </cell>
          <cell r="T162" t="str">
            <v>RU=G-JER</v>
          </cell>
          <cell r="U162" t="str">
            <v>RU=G-LX</v>
          </cell>
          <cell r="V162" t="str">
            <v>RU=G-NL</v>
          </cell>
          <cell r="W162" t="str">
            <v>RU=G-ROM</v>
          </cell>
          <cell r="X162" t="str">
            <v>RU=G-SP</v>
          </cell>
          <cell r="Y162" t="str">
            <v>RU=G-SPGE</v>
          </cell>
          <cell r="Z162" t="str">
            <v>RU=G-UK</v>
          </cell>
          <cell r="AA162" t="str">
            <v>RU=G-US</v>
          </cell>
          <cell r="AB162" t="str">
            <v>RU=GT-BALE2</v>
          </cell>
          <cell r="AC162" t="str">
            <v>RU=GT-FPAR</v>
          </cell>
          <cell r="AD162" t="str">
            <v>RU=GT-FPBNPPI</v>
          </cell>
          <cell r="AE162" t="str">
            <v>RU sum AF00100</v>
          </cell>
        </row>
        <row r="163">
          <cell r="B163">
            <v>2</v>
          </cell>
        </row>
        <row r="164">
          <cell r="A164" t="str">
            <v>AC=GPNBSOC</v>
          </cell>
          <cell r="B164">
            <v>3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</row>
        <row r="165">
          <cell r="A165" t="str">
            <v>AC=GFB001</v>
          </cell>
          <cell r="B165">
            <v>4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</row>
        <row r="166">
          <cell r="A166" t="str">
            <v>AC=GFB002</v>
          </cell>
          <cell r="B166">
            <v>5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</row>
        <row r="167">
          <cell r="A167" t="str">
            <v>AC=GFB004</v>
          </cell>
          <cell r="B167">
            <v>6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</row>
        <row r="168">
          <cell r="B168">
            <v>7</v>
          </cell>
        </row>
        <row r="169">
          <cell r="A169" t="str">
            <v>AC=GFDGHT</v>
          </cell>
          <cell r="B169">
            <v>8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</row>
        <row r="170">
          <cell r="A170" t="str">
            <v>AC=GFB005</v>
          </cell>
          <cell r="B170">
            <v>9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</row>
        <row r="171">
          <cell r="A171" t="str">
            <v>AC=GFB006</v>
          </cell>
          <cell r="B171">
            <v>10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</row>
        <row r="172">
          <cell r="B172">
            <v>11</v>
          </cell>
        </row>
        <row r="173">
          <cell r="A173" t="str">
            <v>AC=GR5000</v>
          </cell>
          <cell r="B173">
            <v>12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</row>
        <row r="174">
          <cell r="A174" t="str">
            <v>AC=GR5300</v>
          </cell>
          <cell r="B174">
            <v>13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</row>
        <row r="175">
          <cell r="A175" t="str">
            <v>AC=GR5400</v>
          </cell>
          <cell r="B175">
            <v>14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</row>
        <row r="176">
          <cell r="B176">
            <v>15</v>
          </cell>
        </row>
        <row r="177">
          <cell r="A177" t="str">
            <v>AC=GRNAI2</v>
          </cell>
          <cell r="B177">
            <v>16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</row>
        <row r="178">
          <cell r="A178" t="str">
            <v>AC=GRNAI</v>
          </cell>
          <cell r="B178">
            <v>17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</row>
        <row r="179">
          <cell r="A179" t="str">
            <v>RNAI hors Technique</v>
          </cell>
          <cell r="B179">
            <v>18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</row>
      </sheetData>
      <sheetData sheetId="4" refreshError="1"/>
      <sheetData sheetId="5" refreshError="1">
        <row r="161">
          <cell r="B161">
            <v>1</v>
          </cell>
          <cell r="C161" t="str">
            <v>RU=G-ABER</v>
          </cell>
          <cell r="D161" t="str">
            <v>RU=G-ABU</v>
          </cell>
          <cell r="E161" t="str">
            <v>RU=G-BE</v>
          </cell>
          <cell r="F161" t="str">
            <v>RU=G-CENTRAL</v>
          </cell>
          <cell r="G161" t="str">
            <v>RU=G-DE</v>
          </cell>
          <cell r="H161" t="str">
            <v>RU=G-FRAR</v>
          </cell>
          <cell r="I161" t="str">
            <v>RU=G-FRMP</v>
          </cell>
          <cell r="J161" t="str">
            <v>RU=G-FULPEI</v>
          </cell>
          <cell r="K161" t="str">
            <v>RU=G-GULF</v>
          </cell>
          <cell r="L161" t="str">
            <v>RU=G-HDAR</v>
          </cell>
          <cell r="M161" t="str">
            <v>RU=G-HDBNPPI</v>
          </cell>
          <cell r="N161" t="str">
            <v>RU=G-IND</v>
          </cell>
          <cell r="O161" t="str">
            <v>RU=G-IR</v>
          </cell>
          <cell r="P161" t="str">
            <v>RU=G-ITAR</v>
          </cell>
          <cell r="Q161" t="str">
            <v>RU=G-ITBNL</v>
          </cell>
          <cell r="R161" t="str">
            <v>RU=G-ITMP</v>
          </cell>
          <cell r="S161" t="str">
            <v>RU=G-ITNAZCA</v>
          </cell>
          <cell r="T161" t="str">
            <v>RU=G-JER</v>
          </cell>
          <cell r="U161" t="str">
            <v>RU=G-LX</v>
          </cell>
          <cell r="V161" t="str">
            <v>RU=G-NL</v>
          </cell>
          <cell r="W161" t="str">
            <v>RU=G-ROM</v>
          </cell>
          <cell r="X161" t="str">
            <v>RU=G-SP</v>
          </cell>
          <cell r="Y161" t="str">
            <v>RU=G-UK</v>
          </cell>
          <cell r="Z161" t="str">
            <v>RU=G-US</v>
          </cell>
          <cell r="AA161" t="str">
            <v>RU=GT-BALE2</v>
          </cell>
          <cell r="AB161" t="str">
            <v>RU=GT-FPAR</v>
          </cell>
          <cell r="AC161" t="str">
            <v>RU=GT-FPBNPPI</v>
          </cell>
          <cell r="AD161" t="str">
            <v>RU=GT-TUT</v>
          </cell>
          <cell r="AE161" t="str">
            <v>RU sum AF00100</v>
          </cell>
          <cell r="AF161" t="str">
            <v>RU=G-SPGE</v>
          </cell>
        </row>
        <row r="162">
          <cell r="B162">
            <v>2</v>
          </cell>
        </row>
        <row r="163">
          <cell r="A163" t="str">
            <v>AC=GPNBSOC</v>
          </cell>
          <cell r="B163">
            <v>3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65.436000000000007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65.436000000000007</v>
          </cell>
          <cell r="AF163">
            <v>0</v>
          </cell>
        </row>
        <row r="164">
          <cell r="A164" t="str">
            <v>AC=GFB001</v>
          </cell>
          <cell r="B164">
            <v>4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A165" t="str">
            <v>AC=GFB002</v>
          </cell>
          <cell r="B165">
            <v>5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</row>
        <row r="166">
          <cell r="A166" t="str">
            <v>AC=GFB004</v>
          </cell>
          <cell r="B166">
            <v>6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</row>
        <row r="167">
          <cell r="B167">
            <v>7</v>
          </cell>
        </row>
        <row r="168">
          <cell r="A168" t="str">
            <v>AC=GFDGHT</v>
          </cell>
          <cell r="B168">
            <v>8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-123.41</v>
          </cell>
          <cell r="H168">
            <v>0</v>
          </cell>
          <cell r="I168">
            <v>-883.00699999999995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-1006.417</v>
          </cell>
          <cell r="AF168">
            <v>0</v>
          </cell>
        </row>
        <row r="169">
          <cell r="A169" t="str">
            <v>AC=GFB005</v>
          </cell>
          <cell r="B169">
            <v>9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A170" t="str">
            <v>AC=GFB006</v>
          </cell>
          <cell r="B170">
            <v>10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</row>
        <row r="171">
          <cell r="B171">
            <v>11</v>
          </cell>
        </row>
        <row r="172">
          <cell r="A172" t="str">
            <v>AC=GR5000</v>
          </cell>
          <cell r="B172">
            <v>12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</row>
        <row r="173">
          <cell r="A173" t="str">
            <v>AC=GR5300</v>
          </cell>
          <cell r="B173">
            <v>13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</row>
        <row r="174">
          <cell r="A174" t="str">
            <v>AC=GR5400</v>
          </cell>
          <cell r="B174">
            <v>14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</row>
        <row r="175">
          <cell r="B175">
            <v>15</v>
          </cell>
        </row>
        <row r="176">
          <cell r="A176" t="str">
            <v>AC=GRNAI2</v>
          </cell>
          <cell r="B176">
            <v>16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-123.41</v>
          </cell>
          <cell r="H176">
            <v>0</v>
          </cell>
          <cell r="I176">
            <v>-817.57100000000003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-940.98099999999999</v>
          </cell>
          <cell r="AF176">
            <v>0</v>
          </cell>
        </row>
        <row r="177">
          <cell r="A177" t="str">
            <v>AC=GRNAI</v>
          </cell>
          <cell r="B177">
            <v>17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-123.41</v>
          </cell>
          <cell r="H177">
            <v>0</v>
          </cell>
          <cell r="I177">
            <v>-817.57100000000003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-940.98099999999999</v>
          </cell>
          <cell r="AF177">
            <v>0</v>
          </cell>
        </row>
        <row r="178">
          <cell r="A178" t="str">
            <v>RNAI hors Technique</v>
          </cell>
          <cell r="B178">
            <v>18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-123.41</v>
          </cell>
          <cell r="H178">
            <v>0</v>
          </cell>
          <cell r="I178">
            <v>-817.57099999999991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-940.98099999999999</v>
          </cell>
          <cell r="AF178">
            <v>0</v>
          </cell>
        </row>
      </sheetData>
      <sheetData sheetId="6" refreshError="1">
        <row r="36">
          <cell r="B36">
            <v>1</v>
          </cell>
          <cell r="C36" t="str">
            <v>RU=G-JER</v>
          </cell>
          <cell r="D36" t="str">
            <v>RU=G-UK</v>
          </cell>
          <cell r="G36">
            <v>1</v>
          </cell>
          <cell r="H36" t="str">
            <v>RU=G-JER</v>
          </cell>
          <cell r="I36" t="str">
            <v>RU=G-UK</v>
          </cell>
        </row>
        <row r="37">
          <cell r="B37">
            <v>2</v>
          </cell>
          <cell r="G37">
            <v>2</v>
          </cell>
        </row>
        <row r="38">
          <cell r="A38" t="str">
            <v>AC=GPNBSOC</v>
          </cell>
          <cell r="B38">
            <v>3</v>
          </cell>
          <cell r="C38">
            <v>0</v>
          </cell>
          <cell r="D38">
            <v>0</v>
          </cell>
          <cell r="F38" t="str">
            <v>AC=GPNBSOC</v>
          </cell>
          <cell r="G38">
            <v>3</v>
          </cell>
          <cell r="H38">
            <v>0</v>
          </cell>
          <cell r="I38">
            <v>0</v>
          </cell>
        </row>
        <row r="39">
          <cell r="A39" t="str">
            <v>AC=GFDGHT</v>
          </cell>
          <cell r="B39">
            <v>4</v>
          </cell>
          <cell r="C39">
            <v>0</v>
          </cell>
          <cell r="D39">
            <v>0</v>
          </cell>
          <cell r="F39" t="str">
            <v>AC=GFDGHT</v>
          </cell>
          <cell r="G39">
            <v>4</v>
          </cell>
          <cell r="H39">
            <v>0</v>
          </cell>
          <cell r="I39">
            <v>0</v>
          </cell>
        </row>
        <row r="40">
          <cell r="A40" t="str">
            <v>AC=GR5000</v>
          </cell>
          <cell r="B40">
            <v>5</v>
          </cell>
          <cell r="C40">
            <v>0</v>
          </cell>
          <cell r="D40">
            <v>0</v>
          </cell>
          <cell r="F40" t="str">
            <v>AC=GR5000</v>
          </cell>
          <cell r="G40">
            <v>5</v>
          </cell>
          <cell r="H40">
            <v>0</v>
          </cell>
          <cell r="I40">
            <v>0</v>
          </cell>
        </row>
        <row r="41">
          <cell r="A41" t="str">
            <v>AC=GR5300</v>
          </cell>
          <cell r="B41">
            <v>6</v>
          </cell>
          <cell r="C41">
            <v>0</v>
          </cell>
          <cell r="D41">
            <v>0</v>
          </cell>
          <cell r="F41" t="str">
            <v>AC=GR5300</v>
          </cell>
          <cell r="G41">
            <v>6</v>
          </cell>
          <cell r="H41">
            <v>0</v>
          </cell>
          <cell r="I41">
            <v>0</v>
          </cell>
        </row>
        <row r="42">
          <cell r="A42" t="str">
            <v>AC=GR5400</v>
          </cell>
          <cell r="B42">
            <v>7</v>
          </cell>
          <cell r="C42">
            <v>0</v>
          </cell>
          <cell r="D42">
            <v>0</v>
          </cell>
          <cell r="F42" t="str">
            <v>AC=GR5400</v>
          </cell>
          <cell r="G42">
            <v>7</v>
          </cell>
          <cell r="H42">
            <v>0</v>
          </cell>
          <cell r="I42">
            <v>0</v>
          </cell>
        </row>
        <row r="43">
          <cell r="B43">
            <v>8</v>
          </cell>
          <cell r="G43">
            <v>8</v>
          </cell>
        </row>
        <row r="44">
          <cell r="A44" t="str">
            <v>AC=GRNAI2</v>
          </cell>
          <cell r="B44">
            <v>9</v>
          </cell>
          <cell r="C44">
            <v>0</v>
          </cell>
          <cell r="D44">
            <v>0</v>
          </cell>
          <cell r="F44" t="str">
            <v>AC=GRNAI2</v>
          </cell>
          <cell r="G44">
            <v>9</v>
          </cell>
          <cell r="H44">
            <v>0</v>
          </cell>
          <cell r="I44">
            <v>0</v>
          </cell>
        </row>
        <row r="45">
          <cell r="A45" t="str">
            <v>AC=GRNAI</v>
          </cell>
          <cell r="B45">
            <v>10</v>
          </cell>
          <cell r="C45">
            <v>0</v>
          </cell>
          <cell r="D45">
            <v>0</v>
          </cell>
          <cell r="F45" t="str">
            <v>AC=GRNAI</v>
          </cell>
          <cell r="G45">
            <v>10</v>
          </cell>
          <cell r="H45">
            <v>0</v>
          </cell>
          <cell r="I45">
            <v>0</v>
          </cell>
        </row>
        <row r="46">
          <cell r="A46" t="str">
            <v>RNAI hors Technique</v>
          </cell>
          <cell r="B46">
            <v>11</v>
          </cell>
          <cell r="C46">
            <v>0</v>
          </cell>
          <cell r="D46">
            <v>0</v>
          </cell>
          <cell r="F46" t="str">
            <v>RNAI hors Technique</v>
          </cell>
          <cell r="G46">
            <v>11</v>
          </cell>
          <cell r="H46">
            <v>0</v>
          </cell>
          <cell r="I46">
            <v>0</v>
          </cell>
        </row>
        <row r="82">
          <cell r="B82">
            <v>1</v>
          </cell>
          <cell r="C82" t="str">
            <v>RU=G-JER</v>
          </cell>
          <cell r="D82" t="str">
            <v>RU=G-UK</v>
          </cell>
          <cell r="G82">
            <v>1</v>
          </cell>
          <cell r="H82" t="str">
            <v>RU=G-JER</v>
          </cell>
          <cell r="I82" t="str">
            <v>RU=G-UK</v>
          </cell>
        </row>
        <row r="83">
          <cell r="B83">
            <v>2</v>
          </cell>
          <cell r="G83">
            <v>2</v>
          </cell>
        </row>
        <row r="84">
          <cell r="A84" t="str">
            <v>AC=GPNBSOC</v>
          </cell>
          <cell r="B84">
            <v>3</v>
          </cell>
          <cell r="C84">
            <v>1307.152</v>
          </cell>
          <cell r="D84">
            <v>68340.711675009996</v>
          </cell>
          <cell r="F84" t="str">
            <v>AC=GPNBSOC</v>
          </cell>
          <cell r="G84">
            <v>3</v>
          </cell>
          <cell r="H84">
            <v>34.119</v>
          </cell>
          <cell r="I84">
            <v>7599.57</v>
          </cell>
        </row>
        <row r="85">
          <cell r="A85" t="str">
            <v>AC=GFDGHT</v>
          </cell>
          <cell r="B85">
            <v>4</v>
          </cell>
          <cell r="C85">
            <v>-721.11519999999996</v>
          </cell>
          <cell r="D85">
            <v>-63934.362999999998</v>
          </cell>
          <cell r="F85" t="str">
            <v>AC=GFDGHT</v>
          </cell>
          <cell r="G85">
            <v>4</v>
          </cell>
          <cell r="H85">
            <v>-48.419199999999996</v>
          </cell>
          <cell r="I85">
            <v>-5812.3969999999999</v>
          </cell>
        </row>
        <row r="86">
          <cell r="A86" t="str">
            <v>AC=GR5000</v>
          </cell>
          <cell r="B86">
            <v>5</v>
          </cell>
          <cell r="C86">
            <v>0</v>
          </cell>
          <cell r="D86">
            <v>-217.548</v>
          </cell>
          <cell r="F86" t="str">
            <v>AC=GR5000</v>
          </cell>
          <cell r="G86">
            <v>5</v>
          </cell>
          <cell r="H86">
            <v>0</v>
          </cell>
          <cell r="I86">
            <v>-43.186999999999998</v>
          </cell>
        </row>
        <row r="87">
          <cell r="A87" t="str">
            <v>AC=GR5300</v>
          </cell>
          <cell r="B87">
            <v>6</v>
          </cell>
          <cell r="C87">
            <v>0</v>
          </cell>
          <cell r="D87">
            <v>0.14399999999999999</v>
          </cell>
          <cell r="F87" t="str">
            <v>AC=GR5300</v>
          </cell>
          <cell r="G87">
            <v>6</v>
          </cell>
          <cell r="H87">
            <v>0</v>
          </cell>
          <cell r="I87">
            <v>1.3247999999999999E-2</v>
          </cell>
        </row>
        <row r="88">
          <cell r="A88" t="str">
            <v>AC=GR5400</v>
          </cell>
          <cell r="B88">
            <v>7</v>
          </cell>
          <cell r="C88">
            <v>0</v>
          </cell>
          <cell r="D88">
            <v>0</v>
          </cell>
          <cell r="F88" t="str">
            <v>AC=GR5400</v>
          </cell>
          <cell r="G88">
            <v>7</v>
          </cell>
          <cell r="H88">
            <v>0</v>
          </cell>
          <cell r="I88">
            <v>0</v>
          </cell>
        </row>
        <row r="89">
          <cell r="B89">
            <v>8</v>
          </cell>
          <cell r="G89">
            <v>8</v>
          </cell>
        </row>
        <row r="90">
          <cell r="A90" t="str">
            <v>AC=GRNAI2</v>
          </cell>
          <cell r="B90">
            <v>9</v>
          </cell>
          <cell r="C90">
            <v>586.03679999999997</v>
          </cell>
          <cell r="D90">
            <v>4188.9449999999997</v>
          </cell>
          <cell r="F90" t="str">
            <v>AC=GRNAI2</v>
          </cell>
          <cell r="G90">
            <v>9</v>
          </cell>
          <cell r="H90">
            <v>-14.3002</v>
          </cell>
          <cell r="I90">
            <v>1743.999</v>
          </cell>
        </row>
        <row r="91">
          <cell r="A91" t="str">
            <v>AC=GRNAI</v>
          </cell>
          <cell r="B91">
            <v>10</v>
          </cell>
          <cell r="C91">
            <v>586.03679999999997</v>
          </cell>
          <cell r="D91">
            <v>4188.9449999999997</v>
          </cell>
          <cell r="F91" t="str">
            <v>AC=GRNAI</v>
          </cell>
          <cell r="G91">
            <v>10</v>
          </cell>
          <cell r="H91">
            <v>-14.3002</v>
          </cell>
          <cell r="I91">
            <v>1743.999</v>
          </cell>
        </row>
        <row r="92">
          <cell r="A92" t="str">
            <v>RNAI hors Technique</v>
          </cell>
          <cell r="B92">
            <v>11</v>
          </cell>
          <cell r="C92">
            <v>586.03680000000008</v>
          </cell>
          <cell r="D92">
            <v>4188.9446750099987</v>
          </cell>
          <cell r="F92" t="str">
            <v>RNAI hors Technique</v>
          </cell>
          <cell r="G92">
            <v>11</v>
          </cell>
          <cell r="H92">
            <v>-14.300199999999997</v>
          </cell>
          <cell r="I92">
            <v>1743.9992479999999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aduction"/>
      <sheetName val="Présentation"/>
      <sheetName val="Réalisé Vs Estimé"/>
      <sheetName val="Chiffres pour CS"/>
      <sheetName val="Réalisé Vs Budget"/>
      <sheetName val="Réalisé N vs Réalisé N-1"/>
      <sheetName val="BCESTE"/>
      <sheetName val="A  vs E-1 MEE-V-CR"/>
      <sheetName val="A vs B MEE-V-CR"/>
      <sheetName val="A vs A-1 MEE-V-C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Magnitude Step C - y.c BNL"/>
      <sheetName val="Pilotage Estimé Annuel"/>
      <sheetName val="Pilotage Estimé T3"/>
      <sheetName val="Pilotage Estimé T4"/>
      <sheetName val="Pilotage Estimé 9M"/>
      <sheetName val="Pilotage Estimé S2"/>
      <sheetName val="Effets Périmètre"/>
      <sheetName val="Tableaux YTD Comments"/>
      <sheetName val="Tableaux Trimestre Comments"/>
      <sheetName val="Vérification"/>
      <sheetName val="Variation de FP"/>
      <sheetName val="Step C - données entrantes"/>
    </sheetNames>
    <sheetDataSet>
      <sheetData sheetId="0" refreshError="1">
        <row r="49">
          <cell r="B49">
            <v>39083</v>
          </cell>
          <cell r="C49" t="str">
            <v>Estimé 2007</v>
          </cell>
          <cell r="D49" t="str">
            <v>Réalisé 2006</v>
          </cell>
          <cell r="E49" t="str">
            <v>Budget 2007</v>
          </cell>
          <cell r="J49" t="str">
            <v>DP=2006.12</v>
          </cell>
          <cell r="K49" t="str">
            <v>PE=2006.12</v>
          </cell>
          <cell r="L49" t="str">
            <v>DP=2007.01</v>
          </cell>
          <cell r="M49" t="str">
            <v>PE=2007.01</v>
          </cell>
        </row>
        <row r="50">
          <cell r="B50">
            <v>39114</v>
          </cell>
          <cell r="C50" t="str">
            <v>Estimé 2007</v>
          </cell>
          <cell r="D50" t="str">
            <v>Réalisé 2006</v>
          </cell>
          <cell r="E50" t="str">
            <v>Budget 2007</v>
          </cell>
          <cell r="J50" t="str">
            <v>DP=2006.12</v>
          </cell>
          <cell r="K50" t="str">
            <v>PE=2006.12</v>
          </cell>
          <cell r="L50" t="str">
            <v>DP=2007.02</v>
          </cell>
          <cell r="M50" t="str">
            <v>PE=2007.02</v>
          </cell>
        </row>
        <row r="51">
          <cell r="B51">
            <v>39142</v>
          </cell>
          <cell r="C51" t="str">
            <v>Estimé 2007</v>
          </cell>
          <cell r="D51" t="str">
            <v>Réalisé 2006</v>
          </cell>
          <cell r="E51" t="str">
            <v>Budget 2007</v>
          </cell>
          <cell r="G51" t="str">
            <v>Réalisé T1 2006</v>
          </cell>
          <cell r="H51" t="str">
            <v>Estimé T1 2007</v>
          </cell>
          <cell r="I51" t="str">
            <v>Budget T1 2007</v>
          </cell>
          <cell r="J51" t="str">
            <v>DP=2006.12</v>
          </cell>
          <cell r="K51" t="str">
            <v>PE=2006.12</v>
          </cell>
          <cell r="L51" t="str">
            <v>DP=2007.03</v>
          </cell>
          <cell r="M51" t="str">
            <v>PE=2007.03</v>
          </cell>
        </row>
        <row r="52">
          <cell r="B52">
            <v>39173</v>
          </cell>
          <cell r="C52" t="str">
            <v>Estimé 2007</v>
          </cell>
          <cell r="D52" t="str">
            <v>Réalisé 2006</v>
          </cell>
          <cell r="E52" t="str">
            <v>Budget 2007</v>
          </cell>
          <cell r="J52" t="str">
            <v>DP=2006.12</v>
          </cell>
          <cell r="K52" t="str">
            <v>PE=2006.12</v>
          </cell>
          <cell r="L52" t="str">
            <v>DP=2007.04</v>
          </cell>
          <cell r="M52" t="str">
            <v>PE=2007.04</v>
          </cell>
        </row>
        <row r="53">
          <cell r="B53">
            <v>39203</v>
          </cell>
          <cell r="C53" t="str">
            <v>Estimé 2007</v>
          </cell>
          <cell r="D53" t="str">
            <v>Réalisé 2006</v>
          </cell>
          <cell r="E53" t="str">
            <v>Budget 2007</v>
          </cell>
          <cell r="J53" t="str">
            <v>DP=2006.12</v>
          </cell>
          <cell r="K53" t="str">
            <v>PE=2006.12</v>
          </cell>
          <cell r="L53" t="str">
            <v>DP=2007.05</v>
          </cell>
          <cell r="M53" t="str">
            <v>PE=2007.05</v>
          </cell>
        </row>
        <row r="54">
          <cell r="B54">
            <v>39234</v>
          </cell>
          <cell r="C54" t="str">
            <v>Estimé 2007</v>
          </cell>
          <cell r="D54" t="str">
            <v>Réalisé 2006</v>
          </cell>
          <cell r="E54" t="str">
            <v>Budget 2007</v>
          </cell>
          <cell r="G54" t="str">
            <v>Réalisé T2 2006</v>
          </cell>
          <cell r="H54" t="str">
            <v>Estimé T2 2007</v>
          </cell>
          <cell r="I54" t="str">
            <v>Budget T2 2007</v>
          </cell>
          <cell r="J54" t="str">
            <v>DP=2006.12</v>
          </cell>
          <cell r="K54" t="str">
            <v>PE=2006.12</v>
          </cell>
          <cell r="L54" t="str">
            <v>DP=2007.06</v>
          </cell>
          <cell r="M54" t="str">
            <v>PE=2007.06</v>
          </cell>
        </row>
        <row r="55">
          <cell r="B55">
            <v>39264</v>
          </cell>
          <cell r="C55" t="str">
            <v>Estimé 2007</v>
          </cell>
          <cell r="D55" t="str">
            <v>Réalisé 2006</v>
          </cell>
          <cell r="E55" t="str">
            <v>Budget 2007</v>
          </cell>
          <cell r="J55" t="str">
            <v>DP=2006.12</v>
          </cell>
          <cell r="K55" t="str">
            <v>PE=2006.12</v>
          </cell>
          <cell r="L55" t="str">
            <v>DP=2007.07</v>
          </cell>
          <cell r="M55" t="str">
            <v>PE=2007.07</v>
          </cell>
        </row>
        <row r="56">
          <cell r="B56">
            <v>39295</v>
          </cell>
          <cell r="C56" t="str">
            <v>Estimé 2007</v>
          </cell>
          <cell r="D56" t="str">
            <v>Réalisé 2006</v>
          </cell>
          <cell r="E56" t="str">
            <v>Budget 2007</v>
          </cell>
          <cell r="J56" t="str">
            <v>DP=2006.12</v>
          </cell>
          <cell r="K56" t="str">
            <v>PE=2006.12</v>
          </cell>
          <cell r="L56" t="str">
            <v>DP=2007.08</v>
          </cell>
          <cell r="M56" t="str">
            <v>PE=2007.08</v>
          </cell>
        </row>
        <row r="57">
          <cell r="B57">
            <v>39326</v>
          </cell>
          <cell r="C57" t="str">
            <v>Estimé 2007</v>
          </cell>
          <cell r="D57" t="str">
            <v>Réalisé 2006</v>
          </cell>
          <cell r="E57" t="str">
            <v>Budget 2007</v>
          </cell>
          <cell r="F57" t="str">
            <v>Estimé 2007 (Juin)</v>
          </cell>
          <cell r="G57" t="str">
            <v>Réalisé T3 2006</v>
          </cell>
          <cell r="H57" t="str">
            <v>Estimé T3 2007</v>
          </cell>
          <cell r="I57" t="str">
            <v>Budget T3 2007</v>
          </cell>
          <cell r="J57" t="str">
            <v>DP=2006.12</v>
          </cell>
          <cell r="K57" t="str">
            <v>PE=2006.12</v>
          </cell>
          <cell r="L57" t="str">
            <v>DP=2007.09</v>
          </cell>
          <cell r="M57" t="str">
            <v>PE=2007.09</v>
          </cell>
        </row>
        <row r="58">
          <cell r="B58">
            <v>39356</v>
          </cell>
          <cell r="C58" t="str">
            <v>Estimé 2007</v>
          </cell>
          <cell r="D58" t="str">
            <v>Réalisé 2006</v>
          </cell>
          <cell r="E58" t="str">
            <v>Budget 2007</v>
          </cell>
          <cell r="J58" t="str">
            <v>DP=2006.12</v>
          </cell>
          <cell r="K58" t="str">
            <v>PE=2006.12</v>
          </cell>
          <cell r="L58" t="str">
            <v>DP=2007.10</v>
          </cell>
          <cell r="M58" t="str">
            <v>PE=2007.10</v>
          </cell>
        </row>
        <row r="59">
          <cell r="B59">
            <v>39387</v>
          </cell>
          <cell r="C59" t="str">
            <v>Estimé 2007</v>
          </cell>
          <cell r="D59" t="str">
            <v>Réalisé 2006</v>
          </cell>
          <cell r="E59" t="str">
            <v>Budget 2007</v>
          </cell>
          <cell r="J59" t="str">
            <v>DP=2006.12</v>
          </cell>
          <cell r="K59" t="str">
            <v>PE=2006.12</v>
          </cell>
          <cell r="L59" t="str">
            <v>DP=2007.11</v>
          </cell>
          <cell r="M59" t="str">
            <v>PE=2007.11</v>
          </cell>
        </row>
        <row r="60">
          <cell r="B60">
            <v>39417</v>
          </cell>
          <cell r="C60" t="str">
            <v>Estimé 2007</v>
          </cell>
          <cell r="D60" t="str">
            <v>Réalisé 2006</v>
          </cell>
          <cell r="E60" t="str">
            <v>Budget 2007</v>
          </cell>
          <cell r="F60" t="str">
            <v>Estimé 2007 (Septembre)</v>
          </cell>
          <cell r="G60" t="str">
            <v>Réalisé T4 2006</v>
          </cell>
          <cell r="H60" t="str">
            <v>Estimé T4 2007</v>
          </cell>
          <cell r="I60" t="str">
            <v>Budget T4 2007</v>
          </cell>
          <cell r="J60" t="str">
            <v>DP=2006.12</v>
          </cell>
          <cell r="K60" t="str">
            <v>PE=2006.12</v>
          </cell>
          <cell r="L60" t="str">
            <v>DP=2007.12</v>
          </cell>
          <cell r="M60" t="str">
            <v>PE=2007.12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duction"/>
      <sheetName val="Présentation"/>
      <sheetName val="Réalisé Vs Estimé"/>
      <sheetName val="Réalisé Vs Estimé (Valeurs)"/>
      <sheetName val="Chiffres pour CS"/>
      <sheetName val="Réalisé Vs Budget"/>
      <sheetName val="Réalisé N vs Réalisé N-1"/>
      <sheetName val="BCESTE"/>
      <sheetName val="A  vs E-1 MEE-V-CR"/>
      <sheetName val="A vs B MEE-V-CR"/>
      <sheetName val="A vs A-1 MEE-V-CR "/>
    </sheetNames>
    <sheetDataSet>
      <sheetData sheetId="0">
        <row r="2">
          <cell r="A2">
            <v>2</v>
          </cell>
        </row>
        <row r="40">
          <cell r="A40" t="str">
            <v>Frais de Gestion</v>
          </cell>
          <cell r="B40" t="str">
            <v xml:space="preserve">General Operating Expenses </v>
          </cell>
        </row>
        <row r="41">
          <cell r="A41" t="str">
            <v>RNAI</v>
          </cell>
          <cell r="B41" t="str">
            <v>Pre-Tax Income</v>
          </cell>
        </row>
        <row r="45">
          <cell r="A45" t="str">
            <v>dont France</v>
          </cell>
          <cell r="B45" t="str">
            <v>o/w France</v>
          </cell>
        </row>
        <row r="46">
          <cell r="A46" t="str">
            <v>dont Italie</v>
          </cell>
          <cell r="B46" t="str">
            <v>o/w Italy</v>
          </cell>
        </row>
        <row r="48">
          <cell r="A48" t="str">
            <v>dont Espagne</v>
          </cell>
          <cell r="B48" t="str">
            <v>o/w Spain</v>
          </cell>
        </row>
        <row r="49">
          <cell r="A49" t="str">
            <v xml:space="preserve">dont Allemagne </v>
          </cell>
          <cell r="B49" t="str">
            <v>o/w Germany</v>
          </cell>
        </row>
        <row r="50">
          <cell r="A50" t="str">
            <v>dont Portugal</v>
          </cell>
          <cell r="B50" t="str">
            <v>o/w Portugal</v>
          </cell>
        </row>
        <row r="52">
          <cell r="A52" t="str">
            <v>dont UK</v>
          </cell>
          <cell r="B52" t="str">
            <v>o/w UK</v>
          </cell>
        </row>
        <row r="53">
          <cell r="A53" t="str">
            <v>dont Luxembourg</v>
          </cell>
          <cell r="B53" t="str">
            <v>o/w Luxembourg</v>
          </cell>
        </row>
        <row r="54">
          <cell r="A54" t="str">
            <v>dont Equipe Internationale</v>
          </cell>
          <cell r="B54" t="str">
            <v>o/w International Teams</v>
          </cell>
        </row>
        <row r="62">
          <cell r="A62" t="str">
            <v>dont Coordination Team</v>
          </cell>
          <cell r="B62" t="str">
            <v xml:space="preserve">o/w Coordination Team </v>
          </cell>
        </row>
        <row r="66">
          <cell r="A66" t="str">
            <v>dont Belgique</v>
          </cell>
          <cell r="B66" t="str">
            <v>o/w Belgium</v>
          </cell>
        </row>
        <row r="68">
          <cell r="A68" t="str">
            <v>dont résidentiel</v>
          </cell>
          <cell r="B68" t="str">
            <v>o/w residential</v>
          </cell>
        </row>
        <row r="70">
          <cell r="A70" t="str">
            <v>dont Tracker</v>
          </cell>
          <cell r="B70" t="str">
            <v>o/w Tracker</v>
          </cell>
        </row>
        <row r="71">
          <cell r="A71" t="str">
            <v>dont Advisory 7</v>
          </cell>
          <cell r="B71" t="str">
            <v>o/w Advisory 7</v>
          </cell>
        </row>
        <row r="72">
          <cell r="A72" t="str">
            <v>dont Irlande</v>
          </cell>
          <cell r="B72" t="str">
            <v>o/w Ireland</v>
          </cell>
        </row>
        <row r="76">
          <cell r="A76" t="str">
            <v>dont Pologne</v>
          </cell>
          <cell r="B76" t="str">
            <v>o/w Poland</v>
          </cell>
        </row>
        <row r="77">
          <cell r="A77" t="str">
            <v>dont Pays-Bas</v>
          </cell>
          <cell r="B77" t="str">
            <v>o/w Netherlands</v>
          </cell>
        </row>
        <row r="79">
          <cell r="A79" t="str">
            <v>dont Holding BNPP RE</v>
          </cell>
          <cell r="B79" t="str">
            <v>o/w Holding BNPP RE</v>
          </cell>
        </row>
        <row r="80">
          <cell r="A80" t="str">
            <v>dont Holding PM (y compris PDI)</v>
          </cell>
          <cell r="B80" t="str">
            <v>o/w Holding PM (incl. PDI)</v>
          </cell>
        </row>
        <row r="83">
          <cell r="A83" t="str">
            <v>Retraitement carto comptable BCESTE</v>
          </cell>
          <cell r="B83" t="str">
            <v>Reprocessing accounting carto BCESTE</v>
          </cell>
        </row>
        <row r="85">
          <cell r="A85" t="str">
            <v>Holding Italie</v>
          </cell>
          <cell r="B85" t="str">
            <v>Holding Italy</v>
          </cell>
        </row>
        <row r="87">
          <cell r="A87" t="str">
            <v>Coûts groupe</v>
          </cell>
          <cell r="B87" t="str">
            <v>Group Costs</v>
          </cell>
        </row>
        <row r="88">
          <cell r="A88" t="str">
            <v>Plateformes</v>
          </cell>
          <cell r="B88" t="str">
            <v>Platforms</v>
          </cell>
        </row>
        <row r="89">
          <cell r="A89" t="str">
            <v>dont Asie</v>
          </cell>
          <cell r="B89" t="str">
            <v>o/w Asia</v>
          </cell>
        </row>
        <row r="90">
          <cell r="A90" t="str">
            <v>dont Moyen Orient</v>
          </cell>
          <cell r="B90" t="str">
            <v>o/w Middle East</v>
          </cell>
        </row>
        <row r="91">
          <cell r="A91" t="str">
            <v>dont Singapour</v>
          </cell>
          <cell r="B91" t="str">
            <v>o/w Singapore</v>
          </cell>
        </row>
        <row r="92">
          <cell r="A92" t="str">
            <v>Refacturations SLA Internes</v>
          </cell>
          <cell r="B92" t="str">
            <v>Internal SLA Reinvoicings</v>
          </cell>
        </row>
        <row r="94">
          <cell r="A94" t="str">
            <v>REVENUES
(PNB + MEE)</v>
          </cell>
          <cell r="B94" t="str">
            <v>Net Banking Income +
Result of Co-Dev JVs</v>
          </cell>
        </row>
      </sheetData>
      <sheetData sheetId="1">
        <row r="30">
          <cell r="D30" t="str">
            <v>March</v>
          </cell>
        </row>
        <row r="31">
          <cell r="E31" t="str">
            <v>Before reallocation of Integrated Functions</v>
          </cell>
        </row>
        <row r="38">
          <cell r="E38" t="str">
            <v>Historical conversion rate</v>
          </cell>
        </row>
        <row r="60">
          <cell r="B60" t="str">
            <v>Historical conversion rate</v>
          </cell>
          <cell r="C60" t="str">
            <v>VA=RECOMPO</v>
          </cell>
        </row>
        <row r="61">
          <cell r="B61" t="str">
            <v>Constant conversion rate</v>
          </cell>
          <cell r="C61" t="str">
            <v>VA=CST</v>
          </cell>
        </row>
        <row r="93">
          <cell r="B93" t="str">
            <v>Before reallocation of Integrated Functions</v>
          </cell>
          <cell r="C93" t="str">
            <v>AU sum GEST00</v>
          </cell>
        </row>
        <row r="94">
          <cell r="B94" t="str">
            <v>After reallocation of  Integrated Functions</v>
          </cell>
          <cell r="C94" t="str">
            <v>AU sum [All values]</v>
          </cell>
        </row>
      </sheetData>
      <sheetData sheetId="2"/>
      <sheetData sheetId="3"/>
      <sheetData sheetId="4"/>
      <sheetData sheetId="5"/>
      <sheetData sheetId="6"/>
      <sheetData sheetId="7">
        <row r="17">
          <cell r="F17">
            <v>6783.9279999999999</v>
          </cell>
          <cell r="G17">
            <v>6783.9279999999999</v>
          </cell>
        </row>
      </sheetData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e"/>
      <sheetName val="Sheet1"/>
      <sheetName val="Translation"/>
      <sheetName val="Presentation"/>
      <sheetName val="Réalisé YTD"/>
      <sheetName val="Réalisé YTD vs Estimé Sept"/>
      <sheetName val="Réalisé TRIM"/>
      <sheetName val="Passage Hors REIM"/>
      <sheetName val="Ajustements Centraux"/>
      <sheetName val="Réalisé MOIS"/>
      <sheetName val="Réalisé 22 B23"/>
      <sheetName val="Intégration&amp;effetcompt S&amp;P"/>
      <sheetName val="Groupe"/>
      <sheetName val="Ctrl FI"/>
      <sheetName val="verif S&amp;P"/>
      <sheetName val="P(N+2)"/>
      <sheetName val="P(N+3)"/>
    </sheetNames>
    <sheetDataSet>
      <sheetData sheetId="0"/>
      <sheetData sheetId="1"/>
      <sheetData sheetId="2"/>
      <sheetData sheetId="3"/>
      <sheetData sheetId="4">
        <row r="39">
          <cell r="D39">
            <v>-19923.364560000002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e"/>
      <sheetName val="Sheet1"/>
      <sheetName val="Translation"/>
      <sheetName val="Presentation"/>
      <sheetName val="Réalisé YTD"/>
      <sheetName val="Réalisé YTD vs Estimé Sept"/>
      <sheetName val="Réalisé TRIM"/>
      <sheetName val="Passage Hors REIM"/>
      <sheetName val="Ajustements Centraux"/>
      <sheetName val="Réalisé MOIS"/>
      <sheetName val="Réalisé 22 B23"/>
      <sheetName val="Intégration&amp;effetcompt S&amp;P"/>
      <sheetName val="Groupe"/>
      <sheetName val="Ctrl FI"/>
      <sheetName val="verif S&amp;P"/>
      <sheetName val="P(N+2)"/>
      <sheetName val="P(N+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11">
          <cell r="F111">
            <v>-23559.932074821492</v>
          </cell>
        </row>
        <row r="181">
          <cell r="F181">
            <v>-19752.25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CD3D2-8D8E-4770-8F46-226DADD70E95}">
  <sheetPr>
    <tabColor theme="4" tint="-0.249977111117893"/>
  </sheetPr>
  <dimension ref="B3:D38"/>
  <sheetViews>
    <sheetView showGridLines="0" tabSelected="1" workbookViewId="0">
      <selection activeCell="B13" sqref="B13"/>
    </sheetView>
  </sheetViews>
  <sheetFormatPr baseColWidth="10" defaultRowHeight="10.199999999999999"/>
  <cols>
    <col min="1" max="1" width="2.88671875" style="3" customWidth="1"/>
    <col min="2" max="2" width="15.109375" style="3" customWidth="1"/>
    <col min="3" max="3" width="17.6640625" style="3" customWidth="1"/>
    <col min="4" max="4" width="35.21875" style="10" customWidth="1"/>
    <col min="5" max="16384" width="11.5546875" style="3"/>
  </cols>
  <sheetData>
    <row r="3" spans="2:4">
      <c r="B3" s="1" t="s">
        <v>134</v>
      </c>
      <c r="C3" s="1" t="s">
        <v>135</v>
      </c>
      <c r="D3" s="2" t="s">
        <v>136</v>
      </c>
    </row>
    <row r="4" spans="2:4">
      <c r="B4" s="4" t="s">
        <v>3</v>
      </c>
      <c r="C4" s="4" t="s">
        <v>71</v>
      </c>
      <c r="D4" s="5" t="s">
        <v>72</v>
      </c>
    </row>
    <row r="5" spans="2:4">
      <c r="B5" s="6" t="s">
        <v>7</v>
      </c>
      <c r="C5" s="6" t="s">
        <v>98</v>
      </c>
      <c r="D5" s="5" t="s">
        <v>99</v>
      </c>
    </row>
    <row r="6" spans="2:4">
      <c r="B6" s="6" t="s">
        <v>6</v>
      </c>
      <c r="C6" s="6" t="s">
        <v>137</v>
      </c>
      <c r="D6" s="5" t="s">
        <v>138</v>
      </c>
    </row>
    <row r="7" spans="2:4">
      <c r="B7" s="6" t="s">
        <v>15</v>
      </c>
      <c r="C7" s="6" t="s">
        <v>124</v>
      </c>
      <c r="D7" s="5" t="s">
        <v>125</v>
      </c>
    </row>
    <row r="8" spans="2:4">
      <c r="B8" s="6" t="s">
        <v>10</v>
      </c>
      <c r="C8" s="6" t="s">
        <v>120</v>
      </c>
      <c r="D8" s="5" t="s">
        <v>121</v>
      </c>
    </row>
    <row r="9" spans="2:4">
      <c r="B9" s="6" t="s">
        <v>18</v>
      </c>
      <c r="C9" s="6" t="s">
        <v>129</v>
      </c>
      <c r="D9" s="5" t="s">
        <v>130</v>
      </c>
    </row>
    <row r="10" spans="2:4">
      <c r="B10" s="7" t="s">
        <v>5</v>
      </c>
      <c r="C10" s="7" t="s">
        <v>70</v>
      </c>
      <c r="D10" s="8" t="s">
        <v>70</v>
      </c>
    </row>
    <row r="11" spans="2:4">
      <c r="B11" s="4" t="s">
        <v>2</v>
      </c>
      <c r="C11" s="4" t="s">
        <v>62</v>
      </c>
      <c r="D11" s="5" t="s">
        <v>63</v>
      </c>
    </row>
    <row r="12" spans="2:4">
      <c r="B12" s="4" t="s">
        <v>1</v>
      </c>
      <c r="C12" s="4" t="s">
        <v>59</v>
      </c>
      <c r="D12" s="5" t="s">
        <v>60</v>
      </c>
    </row>
    <row r="13" spans="2:4">
      <c r="B13" s="6" t="s">
        <v>14</v>
      </c>
      <c r="C13" s="6" t="s">
        <v>122</v>
      </c>
      <c r="D13" s="5" t="s">
        <v>123</v>
      </c>
    </row>
    <row r="14" spans="2:4">
      <c r="B14" s="4" t="s">
        <v>12</v>
      </c>
      <c r="C14" s="4" t="s">
        <v>79</v>
      </c>
      <c r="D14" s="5" t="s">
        <v>80</v>
      </c>
    </row>
    <row r="15" spans="2:4">
      <c r="B15" s="6" t="s">
        <v>4</v>
      </c>
      <c r="C15" s="6" t="s">
        <v>64</v>
      </c>
      <c r="D15" s="5" t="s">
        <v>65</v>
      </c>
    </row>
    <row r="16" spans="2:4">
      <c r="B16" s="6" t="s">
        <v>25</v>
      </c>
      <c r="C16" s="6" t="s">
        <v>85</v>
      </c>
      <c r="D16" s="5" t="s">
        <v>86</v>
      </c>
    </row>
    <row r="17" spans="2:4">
      <c r="B17" s="7" t="s">
        <v>13</v>
      </c>
      <c r="C17" s="7" t="s">
        <v>70</v>
      </c>
      <c r="D17" s="8" t="s">
        <v>70</v>
      </c>
    </row>
    <row r="18" spans="2:4">
      <c r="B18" s="6" t="s">
        <v>26</v>
      </c>
      <c r="C18" s="6" t="s">
        <v>118</v>
      </c>
      <c r="D18" s="5" t="s">
        <v>119</v>
      </c>
    </row>
    <row r="19" spans="2:4">
      <c r="B19" s="6" t="s">
        <v>47</v>
      </c>
      <c r="C19" s="6" t="s">
        <v>56</v>
      </c>
      <c r="D19" s="5" t="s">
        <v>57</v>
      </c>
    </row>
    <row r="20" spans="2:4">
      <c r="B20" s="4" t="s">
        <v>20</v>
      </c>
      <c r="C20" s="4" t="s">
        <v>53</v>
      </c>
      <c r="D20" s="5" t="s">
        <v>54</v>
      </c>
    </row>
    <row r="21" spans="2:4">
      <c r="B21" s="4" t="s">
        <v>28</v>
      </c>
      <c r="C21" s="4" t="s">
        <v>139</v>
      </c>
      <c r="D21" s="5" t="s">
        <v>133</v>
      </c>
    </row>
    <row r="22" spans="2:4">
      <c r="B22" s="4" t="s">
        <v>21</v>
      </c>
      <c r="C22" s="4" t="s">
        <v>73</v>
      </c>
      <c r="D22" s="5" t="s">
        <v>74</v>
      </c>
    </row>
    <row r="23" spans="2:4">
      <c r="B23" s="4" t="s">
        <v>32</v>
      </c>
      <c r="C23" s="4" t="s">
        <v>49</v>
      </c>
      <c r="D23" s="5" t="s">
        <v>50</v>
      </c>
    </row>
    <row r="24" spans="2:4">
      <c r="B24" s="4" t="s">
        <v>131</v>
      </c>
      <c r="C24" s="4" t="s">
        <v>140</v>
      </c>
      <c r="D24" s="5" t="s">
        <v>132</v>
      </c>
    </row>
    <row r="25" spans="2:4">
      <c r="B25" s="4" t="s">
        <v>27</v>
      </c>
      <c r="C25" s="4" t="s">
        <v>110</v>
      </c>
      <c r="D25" s="5" t="s">
        <v>111</v>
      </c>
    </row>
    <row r="26" spans="2:4">
      <c r="B26" s="6" t="s">
        <v>30</v>
      </c>
      <c r="C26" s="6" t="s">
        <v>112</v>
      </c>
      <c r="D26" s="5" t="s">
        <v>113</v>
      </c>
    </row>
    <row r="27" spans="2:4">
      <c r="B27" s="6" t="s">
        <v>29</v>
      </c>
      <c r="C27" s="6" t="s">
        <v>106</v>
      </c>
      <c r="D27" s="5" t="s">
        <v>107</v>
      </c>
    </row>
    <row r="28" spans="2:4">
      <c r="B28" s="6" t="s">
        <v>31</v>
      </c>
      <c r="C28" s="6" t="s">
        <v>108</v>
      </c>
      <c r="D28" s="5" t="s">
        <v>109</v>
      </c>
    </row>
    <row r="29" spans="2:4">
      <c r="B29" s="4" t="s">
        <v>11</v>
      </c>
      <c r="C29" s="4" t="s">
        <v>66</v>
      </c>
      <c r="D29" s="5" t="s">
        <v>67</v>
      </c>
    </row>
    <row r="30" spans="2:4">
      <c r="B30" s="6" t="s">
        <v>41</v>
      </c>
      <c r="C30" s="6" t="s">
        <v>92</v>
      </c>
      <c r="D30" s="5" t="s">
        <v>93</v>
      </c>
    </row>
    <row r="31" spans="2:4">
      <c r="B31" s="7" t="s">
        <v>141</v>
      </c>
      <c r="C31" s="7" t="s">
        <v>70</v>
      </c>
      <c r="D31" s="8" t="s">
        <v>70</v>
      </c>
    </row>
    <row r="32" spans="2:4">
      <c r="B32" s="6" t="s">
        <v>142</v>
      </c>
      <c r="C32" s="6" t="s">
        <v>143</v>
      </c>
      <c r="D32" s="5" t="s">
        <v>144</v>
      </c>
    </row>
    <row r="33" spans="2:4">
      <c r="B33" s="6" t="s">
        <v>16</v>
      </c>
      <c r="C33" s="6" t="s">
        <v>127</v>
      </c>
      <c r="D33" s="5" t="s">
        <v>128</v>
      </c>
    </row>
    <row r="34" spans="2:4">
      <c r="B34" s="6" t="s">
        <v>145</v>
      </c>
      <c r="C34" s="6" t="s">
        <v>146</v>
      </c>
      <c r="D34" s="5" t="s">
        <v>147</v>
      </c>
    </row>
    <row r="35" spans="2:4">
      <c r="B35" s="6" t="s">
        <v>148</v>
      </c>
      <c r="C35" s="6" t="s">
        <v>149</v>
      </c>
      <c r="D35" s="5" t="s">
        <v>150</v>
      </c>
    </row>
    <row r="36" spans="2:4">
      <c r="B36" s="7" t="s">
        <v>151</v>
      </c>
      <c r="C36" s="7" t="s">
        <v>70</v>
      </c>
      <c r="D36" s="8" t="s">
        <v>70</v>
      </c>
    </row>
    <row r="37" spans="2:4">
      <c r="B37" s="6" t="s">
        <v>152</v>
      </c>
      <c r="C37" s="6" t="s">
        <v>153</v>
      </c>
      <c r="D37" s="5" t="s">
        <v>154</v>
      </c>
    </row>
    <row r="38" spans="2:4">
      <c r="B38" s="9"/>
      <c r="C38" s="9"/>
    </row>
  </sheetData>
  <pageMargins left="0.7" right="0.7" top="0.75" bottom="0.75" header="0.3" footer="0.3"/>
  <headerFooter>
    <oddFooter>&amp;R_x000D_&amp;1#&amp;"Calibri"&amp;10&amp;K0078D7 Classification : 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73FA-5602-4543-9758-1D214B56A4DF}">
  <sheetPr>
    <tabColor theme="4" tint="-0.249977111117893"/>
  </sheetPr>
  <dimension ref="B3:F38"/>
  <sheetViews>
    <sheetView showGridLines="0" workbookViewId="0">
      <selection activeCell="B13" sqref="B13"/>
    </sheetView>
  </sheetViews>
  <sheetFormatPr baseColWidth="10" defaultRowHeight="10.199999999999999"/>
  <cols>
    <col min="1" max="1" width="1.88671875" style="3" customWidth="1"/>
    <col min="2" max="2" width="12.6640625" style="3" bestFit="1" customWidth="1"/>
    <col min="3" max="3" width="19.21875" style="3" bestFit="1" customWidth="1"/>
    <col min="4" max="4" width="13.44140625" style="3" customWidth="1"/>
    <col min="5" max="5" width="17.109375" style="3" customWidth="1"/>
    <col min="6" max="6" width="38.44140625" style="3" bestFit="1" customWidth="1"/>
    <col min="7" max="16384" width="11.5546875" style="3"/>
  </cols>
  <sheetData>
    <row r="3" spans="2:6">
      <c r="B3" s="1" t="s">
        <v>155</v>
      </c>
      <c r="C3" s="1" t="s">
        <v>156</v>
      </c>
      <c r="D3" s="1" t="s">
        <v>157</v>
      </c>
      <c r="E3" s="1" t="s">
        <v>135</v>
      </c>
      <c r="F3" s="1" t="s">
        <v>158</v>
      </c>
    </row>
    <row r="4" spans="2:6">
      <c r="B4" s="11" t="s">
        <v>22</v>
      </c>
      <c r="C4" s="11" t="s">
        <v>159</v>
      </c>
      <c r="D4" s="12" t="s">
        <v>0</v>
      </c>
      <c r="E4" s="13" t="s">
        <v>61</v>
      </c>
      <c r="F4" s="13" t="s">
        <v>159</v>
      </c>
    </row>
    <row r="5" spans="2:6">
      <c r="B5" s="11" t="s">
        <v>22</v>
      </c>
      <c r="C5" s="11" t="s">
        <v>159</v>
      </c>
      <c r="D5" s="12" t="s">
        <v>0</v>
      </c>
      <c r="E5" s="13" t="s">
        <v>160</v>
      </c>
      <c r="F5" s="13" t="s">
        <v>161</v>
      </c>
    </row>
    <row r="6" spans="2:6">
      <c r="B6" s="14" t="s">
        <v>17</v>
      </c>
      <c r="C6" s="14" t="s">
        <v>162</v>
      </c>
      <c r="D6" s="12" t="s">
        <v>0</v>
      </c>
      <c r="E6" s="13" t="s">
        <v>163</v>
      </c>
      <c r="F6" s="13" t="s">
        <v>164</v>
      </c>
    </row>
    <row r="7" spans="2:6">
      <c r="B7" s="14" t="s">
        <v>17</v>
      </c>
      <c r="C7" s="14" t="s">
        <v>162</v>
      </c>
      <c r="D7" s="12" t="s">
        <v>0</v>
      </c>
      <c r="E7" s="13" t="s">
        <v>114</v>
      </c>
      <c r="F7" s="13" t="s">
        <v>165</v>
      </c>
    </row>
    <row r="8" spans="2:6">
      <c r="B8" s="14" t="s">
        <v>17</v>
      </c>
      <c r="C8" s="14" t="s">
        <v>162</v>
      </c>
      <c r="D8" s="12" t="s">
        <v>0</v>
      </c>
      <c r="E8" s="13" t="s">
        <v>116</v>
      </c>
      <c r="F8" s="13" t="s">
        <v>166</v>
      </c>
    </row>
    <row r="9" spans="2:6">
      <c r="B9" s="14" t="s">
        <v>17</v>
      </c>
      <c r="C9" s="14" t="s">
        <v>162</v>
      </c>
      <c r="D9" s="12" t="s">
        <v>0</v>
      </c>
      <c r="E9" s="13" t="s">
        <v>115</v>
      </c>
      <c r="F9" s="13" t="s">
        <v>167</v>
      </c>
    </row>
    <row r="10" spans="2:6">
      <c r="B10" s="14" t="s">
        <v>44</v>
      </c>
      <c r="C10" s="14" t="s">
        <v>168</v>
      </c>
      <c r="D10" s="12" t="s">
        <v>0</v>
      </c>
      <c r="E10" s="13" t="s">
        <v>51</v>
      </c>
      <c r="F10" s="13" t="s">
        <v>169</v>
      </c>
    </row>
    <row r="11" spans="2:6">
      <c r="B11" s="14" t="s">
        <v>46</v>
      </c>
      <c r="C11" s="14" t="s">
        <v>170</v>
      </c>
      <c r="D11" s="12" t="s">
        <v>0</v>
      </c>
      <c r="E11" s="13" t="s">
        <v>51</v>
      </c>
      <c r="F11" s="13" t="s">
        <v>169</v>
      </c>
    </row>
    <row r="12" spans="2:6">
      <c r="B12" s="14" t="s">
        <v>52</v>
      </c>
      <c r="C12" s="14" t="s">
        <v>171</v>
      </c>
      <c r="D12" s="12" t="s">
        <v>0</v>
      </c>
      <c r="E12" s="13" t="s">
        <v>55</v>
      </c>
      <c r="F12" s="13" t="s">
        <v>172</v>
      </c>
    </row>
    <row r="13" spans="2:6">
      <c r="B13" s="14" t="s">
        <v>34</v>
      </c>
      <c r="C13" s="14" t="s">
        <v>173</v>
      </c>
      <c r="D13" s="12" t="s">
        <v>0</v>
      </c>
      <c r="E13" s="13" t="s">
        <v>76</v>
      </c>
      <c r="F13" s="13" t="s">
        <v>174</v>
      </c>
    </row>
    <row r="14" spans="2:6">
      <c r="B14" s="14" t="s">
        <v>33</v>
      </c>
      <c r="C14" s="14" t="s">
        <v>175</v>
      </c>
      <c r="D14" s="12" t="s">
        <v>0</v>
      </c>
      <c r="E14" s="13" t="s">
        <v>78</v>
      </c>
      <c r="F14" s="13" t="s">
        <v>176</v>
      </c>
    </row>
    <row r="15" spans="2:6">
      <c r="B15" s="14" t="s">
        <v>81</v>
      </c>
      <c r="C15" s="14" t="s">
        <v>177</v>
      </c>
      <c r="D15" s="12" t="s">
        <v>0</v>
      </c>
      <c r="E15" s="13" t="s">
        <v>82</v>
      </c>
      <c r="F15" s="13" t="s">
        <v>178</v>
      </c>
    </row>
    <row r="16" spans="2:6">
      <c r="B16" s="14" t="s">
        <v>36</v>
      </c>
      <c r="C16" s="14" t="s">
        <v>179</v>
      </c>
      <c r="D16" s="12" t="s">
        <v>0</v>
      </c>
      <c r="E16" s="13" t="s">
        <v>83</v>
      </c>
      <c r="F16" s="13" t="s">
        <v>179</v>
      </c>
    </row>
    <row r="17" spans="2:6">
      <c r="B17" s="14" t="s">
        <v>36</v>
      </c>
      <c r="C17" s="14" t="s">
        <v>179</v>
      </c>
      <c r="D17" s="12" t="s">
        <v>0</v>
      </c>
      <c r="E17" s="13" t="s">
        <v>180</v>
      </c>
      <c r="F17" s="13" t="s">
        <v>181</v>
      </c>
    </row>
    <row r="18" spans="2:6">
      <c r="B18" s="14" t="s">
        <v>36</v>
      </c>
      <c r="C18" s="14" t="s">
        <v>179</v>
      </c>
      <c r="D18" s="12" t="s">
        <v>0</v>
      </c>
      <c r="E18" s="13" t="s">
        <v>182</v>
      </c>
      <c r="F18" s="13" t="s">
        <v>183</v>
      </c>
    </row>
    <row r="19" spans="2:6">
      <c r="B19" s="14" t="s">
        <v>35</v>
      </c>
      <c r="C19" s="14" t="s">
        <v>184</v>
      </c>
      <c r="D19" s="12" t="s">
        <v>0</v>
      </c>
      <c r="E19" s="13" t="s">
        <v>84</v>
      </c>
      <c r="F19" s="13" t="s">
        <v>185</v>
      </c>
    </row>
    <row r="20" spans="2:6">
      <c r="B20" s="14" t="s">
        <v>40</v>
      </c>
      <c r="C20" s="14" t="s">
        <v>186</v>
      </c>
      <c r="D20" s="12" t="s">
        <v>0</v>
      </c>
      <c r="E20" s="13" t="s">
        <v>87</v>
      </c>
      <c r="F20" s="13" t="s">
        <v>187</v>
      </c>
    </row>
    <row r="21" spans="2:6">
      <c r="B21" s="14" t="s">
        <v>23</v>
      </c>
      <c r="C21" s="14" t="s">
        <v>188</v>
      </c>
      <c r="D21" s="12" t="s">
        <v>0</v>
      </c>
      <c r="E21" s="13" t="s">
        <v>89</v>
      </c>
      <c r="F21" s="13" t="s">
        <v>189</v>
      </c>
    </row>
    <row r="22" spans="2:6">
      <c r="B22" s="14" t="s">
        <v>90</v>
      </c>
      <c r="C22" s="14" t="s">
        <v>190</v>
      </c>
      <c r="D22" s="12" t="s">
        <v>0</v>
      </c>
      <c r="E22" s="13" t="s">
        <v>91</v>
      </c>
      <c r="F22" s="13" t="s">
        <v>191</v>
      </c>
    </row>
    <row r="23" spans="2:6">
      <c r="B23" s="14" t="s">
        <v>24</v>
      </c>
      <c r="C23" s="14" t="s">
        <v>192</v>
      </c>
      <c r="D23" s="12" t="s">
        <v>0</v>
      </c>
      <c r="E23" s="13" t="s">
        <v>95</v>
      </c>
      <c r="F23" s="13" t="s">
        <v>193</v>
      </c>
    </row>
    <row r="24" spans="2:6">
      <c r="B24" s="14" t="s">
        <v>38</v>
      </c>
      <c r="C24" s="14" t="s">
        <v>194</v>
      </c>
      <c r="D24" s="12" t="s">
        <v>39</v>
      </c>
      <c r="E24" s="13" t="s">
        <v>97</v>
      </c>
      <c r="F24" s="13" t="s">
        <v>195</v>
      </c>
    </row>
    <row r="25" spans="2:6">
      <c r="B25" s="14" t="s">
        <v>45</v>
      </c>
      <c r="C25" s="14" t="s">
        <v>196</v>
      </c>
      <c r="D25" s="15" t="s">
        <v>0</v>
      </c>
      <c r="E25" s="13" t="s">
        <v>101</v>
      </c>
      <c r="F25" s="13" t="s">
        <v>197</v>
      </c>
    </row>
    <row r="26" spans="2:6">
      <c r="B26" s="14" t="s">
        <v>45</v>
      </c>
      <c r="C26" s="14" t="s">
        <v>196</v>
      </c>
      <c r="D26" s="15" t="s">
        <v>0</v>
      </c>
      <c r="E26" s="13" t="s">
        <v>198</v>
      </c>
      <c r="F26" s="13" t="s">
        <v>199</v>
      </c>
    </row>
    <row r="27" spans="2:6">
      <c r="B27" s="14" t="s">
        <v>42</v>
      </c>
      <c r="C27" s="14" t="s">
        <v>200</v>
      </c>
      <c r="D27" s="12" t="s">
        <v>43</v>
      </c>
      <c r="E27" s="13" t="s">
        <v>102</v>
      </c>
      <c r="F27" s="11" t="s">
        <v>201</v>
      </c>
    </row>
    <row r="28" spans="2:6">
      <c r="B28" s="14" t="s">
        <v>19</v>
      </c>
      <c r="C28" s="14" t="s">
        <v>202</v>
      </c>
      <c r="D28" s="12" t="s">
        <v>0</v>
      </c>
      <c r="E28" s="13" t="s">
        <v>69</v>
      </c>
      <c r="F28" s="13" t="s">
        <v>203</v>
      </c>
    </row>
    <row r="29" spans="2:6">
      <c r="B29" s="14" t="s">
        <v>19</v>
      </c>
      <c r="C29" s="14" t="s">
        <v>202</v>
      </c>
      <c r="D29" s="12" t="s">
        <v>0</v>
      </c>
      <c r="E29" s="13" t="s">
        <v>204</v>
      </c>
      <c r="F29" s="13" t="s">
        <v>205</v>
      </c>
    </row>
    <row r="30" spans="2:6">
      <c r="B30" s="14" t="s">
        <v>19</v>
      </c>
      <c r="C30" s="14" t="s">
        <v>202</v>
      </c>
      <c r="D30" s="12" t="s">
        <v>0</v>
      </c>
      <c r="E30" s="13" t="s">
        <v>206</v>
      </c>
      <c r="F30" s="13" t="s">
        <v>207</v>
      </c>
    </row>
    <row r="31" spans="2:6">
      <c r="B31" s="14" t="s">
        <v>19</v>
      </c>
      <c r="C31" s="14" t="s">
        <v>202</v>
      </c>
      <c r="D31" s="12" t="s">
        <v>0</v>
      </c>
      <c r="E31" s="13" t="s">
        <v>208</v>
      </c>
      <c r="F31" s="13" t="s">
        <v>209</v>
      </c>
    </row>
    <row r="32" spans="2:6">
      <c r="B32" s="14" t="s">
        <v>8</v>
      </c>
      <c r="C32" s="14" t="s">
        <v>210</v>
      </c>
      <c r="D32" s="12" t="s">
        <v>9</v>
      </c>
      <c r="E32" s="13" t="s">
        <v>117</v>
      </c>
      <c r="F32" s="13" t="s">
        <v>211</v>
      </c>
    </row>
    <row r="33" spans="2:6">
      <c r="B33" s="14" t="s">
        <v>8</v>
      </c>
      <c r="C33" s="14" t="s">
        <v>210</v>
      </c>
      <c r="D33" s="12" t="s">
        <v>9</v>
      </c>
      <c r="E33" s="13" t="s">
        <v>212</v>
      </c>
      <c r="F33" s="13" t="s">
        <v>213</v>
      </c>
    </row>
    <row r="34" spans="2:6">
      <c r="B34" s="14" t="s">
        <v>8</v>
      </c>
      <c r="C34" s="14" t="s">
        <v>210</v>
      </c>
      <c r="D34" s="12" t="s">
        <v>9</v>
      </c>
      <c r="E34" s="13" t="s">
        <v>126</v>
      </c>
      <c r="F34" s="13" t="s">
        <v>214</v>
      </c>
    </row>
    <row r="35" spans="2:6">
      <c r="B35" s="14" t="s">
        <v>8</v>
      </c>
      <c r="C35" s="14" t="s">
        <v>210</v>
      </c>
      <c r="D35" s="12" t="s">
        <v>9</v>
      </c>
      <c r="E35" s="13" t="s">
        <v>215</v>
      </c>
      <c r="F35" s="13" t="s">
        <v>216</v>
      </c>
    </row>
    <row r="36" spans="2:6">
      <c r="B36" s="14" t="s">
        <v>37</v>
      </c>
      <c r="C36" s="14" t="s">
        <v>217</v>
      </c>
      <c r="D36" s="12" t="s">
        <v>9</v>
      </c>
      <c r="E36" s="13" t="s">
        <v>104</v>
      </c>
      <c r="F36" s="13" t="s">
        <v>217</v>
      </c>
    </row>
    <row r="37" spans="2:6">
      <c r="B37" s="14" t="s">
        <v>37</v>
      </c>
      <c r="C37" s="14" t="s">
        <v>217</v>
      </c>
      <c r="D37" s="12" t="s">
        <v>9</v>
      </c>
      <c r="E37" s="13" t="s">
        <v>218</v>
      </c>
      <c r="F37" s="13" t="s">
        <v>219</v>
      </c>
    </row>
    <row r="38" spans="2:6">
      <c r="B38" s="14" t="s">
        <v>37</v>
      </c>
      <c r="C38" s="14" t="s">
        <v>217</v>
      </c>
      <c r="D38" s="12" t="s">
        <v>9</v>
      </c>
      <c r="E38" s="13" t="s">
        <v>220</v>
      </c>
      <c r="F38" s="13" t="s">
        <v>221</v>
      </c>
    </row>
  </sheetData>
  <autoFilter ref="B3:F38" xr:uid="{98ACFAAA-575E-4992-9A83-2D8D30243B91}"/>
  <pageMargins left="0.7" right="0.7" top="0.75" bottom="0.75" header="0.3" footer="0.3"/>
  <pageSetup paperSize="9" orientation="portrait" r:id="rId1"/>
  <headerFooter>
    <oddFooter>&amp;R_x000D_&amp;1#&amp;"Calibri"&amp;10&amp;K0078D7 Classification : 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39E2E-B5F9-475F-8F42-7B6E0D605911}">
  <sheetPr>
    <tabColor rgb="FF92D050"/>
    <pageSetUpPr fitToPage="1"/>
  </sheetPr>
  <dimension ref="A1:BT135"/>
  <sheetViews>
    <sheetView showGridLines="0" zoomScale="80" zoomScaleNormal="80" zoomScaleSheetLayoutView="80" workbookViewId="0">
      <selection activeCell="E11" sqref="E11:I11"/>
    </sheetView>
  </sheetViews>
  <sheetFormatPr baseColWidth="10" defaultColWidth="9.109375" defaultRowHeight="13.8" outlineLevelRow="4" outlineLevelCol="1"/>
  <cols>
    <col min="1" max="1" width="39.33203125" style="16" customWidth="1" outlineLevel="1"/>
    <col min="2" max="2" width="76.109375" style="16" customWidth="1" outlineLevel="1"/>
    <col min="3" max="3" width="12.109375" style="16" customWidth="1" outlineLevel="1"/>
    <col min="4" max="4" width="45.6640625" style="17" customWidth="1"/>
    <col min="5" max="5" width="27.44140625" style="16" customWidth="1"/>
    <col min="6" max="6" width="0.88671875" style="16" customWidth="1"/>
    <col min="7" max="7" width="12.6640625" style="16" hidden="1" customWidth="1"/>
    <col min="8" max="8" width="0.88671875" style="16" hidden="1" customWidth="1"/>
    <col min="9" max="9" width="12.6640625" style="18" hidden="1" customWidth="1"/>
    <col min="10" max="10" width="1.6640625" style="16" customWidth="1"/>
    <col min="11" max="11" width="24.44140625" style="16" customWidth="1"/>
    <col min="12" max="12" width="0.88671875" style="16" customWidth="1"/>
    <col min="13" max="13" width="12.6640625" style="16" hidden="1" customWidth="1"/>
    <col min="14" max="14" width="0.88671875" style="16" hidden="1" customWidth="1"/>
    <col min="15" max="15" width="12.6640625" style="18" hidden="1" customWidth="1"/>
    <col min="16" max="16" width="1.6640625" style="19" customWidth="1"/>
    <col min="17" max="17" width="26.33203125" style="16" customWidth="1"/>
    <col min="18" max="18" width="0.88671875" style="16" customWidth="1"/>
    <col min="19" max="19" width="12.6640625" style="16" hidden="1" customWidth="1"/>
    <col min="20" max="20" width="0.88671875" style="16" hidden="1" customWidth="1"/>
    <col min="21" max="21" width="12.6640625" style="18" hidden="1" customWidth="1"/>
    <col min="22" max="22" width="3.5546875" style="16" customWidth="1"/>
    <col min="23" max="23" width="12.6640625" style="16" customWidth="1" outlineLevel="1"/>
    <col min="24" max="24" width="0.88671875" style="16" customWidth="1" outlineLevel="1"/>
    <col min="25" max="25" width="12.6640625" style="16" customWidth="1" outlineLevel="1"/>
    <col min="26" max="26" width="0.88671875" style="16" customWidth="1" outlineLevel="1"/>
    <col min="27" max="27" width="12.6640625" style="18" customWidth="1" outlineLevel="1"/>
    <col min="28" max="28" width="3.6640625" style="19" customWidth="1" outlineLevel="1"/>
    <col min="29" max="29" width="12.6640625" style="16" customWidth="1" outlineLevel="1"/>
    <col min="30" max="30" width="0.88671875" style="16" customWidth="1" outlineLevel="1"/>
    <col min="31" max="31" width="12.6640625" style="16" customWidth="1" outlineLevel="1"/>
    <col min="32" max="32" width="0.88671875" style="16" customWidth="1" outlineLevel="1"/>
    <col min="33" max="33" width="12.6640625" style="18" customWidth="1" outlineLevel="1"/>
    <col min="34" max="34" width="3.6640625" style="19" customWidth="1" outlineLevel="1"/>
    <col min="35" max="35" width="12.6640625" style="16" customWidth="1" outlineLevel="1"/>
    <col min="36" max="36" width="0.88671875" style="16" customWidth="1" outlineLevel="1"/>
    <col min="37" max="37" width="12.6640625" style="16" customWidth="1" outlineLevel="1"/>
    <col min="38" max="38" width="0.88671875" style="16" customWidth="1" outlineLevel="1"/>
    <col min="39" max="39" width="12.6640625" style="18" customWidth="1" outlineLevel="1"/>
    <col min="40" max="40" width="3.6640625" style="19" customWidth="1" outlineLevel="1"/>
    <col min="41" max="41" width="12.6640625" style="16" customWidth="1" outlineLevel="1"/>
    <col min="42" max="42" width="0.88671875" style="16" customWidth="1" outlineLevel="1"/>
    <col min="43" max="43" width="12.6640625" style="16" customWidth="1" outlineLevel="1"/>
    <col min="44" max="44" width="0.88671875" style="16" customWidth="1" outlineLevel="1"/>
    <col min="45" max="45" width="12.6640625" style="18" customWidth="1" outlineLevel="1"/>
    <col min="46" max="46" width="3.109375" style="19" customWidth="1" outlineLevel="1"/>
    <col min="47" max="47" width="12.6640625" style="16" customWidth="1" outlineLevel="1"/>
    <col min="48" max="48" width="0.88671875" style="16" customWidth="1" outlineLevel="1"/>
    <col min="49" max="49" width="12.6640625" style="16" customWidth="1" outlineLevel="1"/>
    <col min="50" max="50" width="0.88671875" style="16" customWidth="1" outlineLevel="1"/>
    <col min="51" max="51" width="12.6640625" style="18" customWidth="1" outlineLevel="1"/>
    <col min="52" max="52" width="3.44140625" style="16" customWidth="1" outlineLevel="1"/>
    <col min="53" max="53" width="12.6640625" style="16" customWidth="1" outlineLevel="1"/>
    <col min="54" max="54" width="0.88671875" style="16" customWidth="1" outlineLevel="1"/>
    <col min="55" max="55" width="12.6640625" style="16" customWidth="1" outlineLevel="1"/>
    <col min="56" max="56" width="0.6640625" style="16" customWidth="1" outlineLevel="1"/>
    <col min="57" max="57" width="16.6640625" style="18" customWidth="1" outlineLevel="1"/>
    <col min="58" max="58" width="9.109375" style="16"/>
    <col min="59" max="59" width="12.6640625" style="16" hidden="1" customWidth="1" outlineLevel="1"/>
    <col min="60" max="60" width="0.88671875" style="16" hidden="1" customWidth="1" outlineLevel="1"/>
    <col min="61" max="61" width="12.6640625" style="16" hidden="1" customWidth="1" outlineLevel="1"/>
    <col min="62" max="62" width="0.88671875" style="16" hidden="1" customWidth="1" outlineLevel="1"/>
    <col min="63" max="63" width="12.6640625" style="18" hidden="1" customWidth="1" outlineLevel="1"/>
    <col min="64" max="64" width="3.109375" style="19" hidden="1" customWidth="1" outlineLevel="1"/>
    <col min="65" max="65" width="9.109375" style="16" collapsed="1"/>
    <col min="66" max="66" width="12.6640625" style="16" hidden="1" customWidth="1" outlineLevel="1"/>
    <col min="67" max="67" width="0.88671875" style="16" hidden="1" customWidth="1" outlineLevel="1"/>
    <col min="68" max="68" width="12.6640625" style="16" hidden="1" customWidth="1" outlineLevel="1"/>
    <col min="69" max="69" width="0.88671875" style="16" hidden="1" customWidth="1" outlineLevel="1"/>
    <col min="70" max="70" width="12.6640625" style="18" hidden="1" customWidth="1" outlineLevel="1"/>
    <col min="71" max="71" width="3.109375" style="19" hidden="1" customWidth="1" outlineLevel="1"/>
    <col min="72" max="72" width="9.109375" style="16" collapsed="1"/>
    <col min="73" max="16384" width="9.109375" style="16"/>
  </cols>
  <sheetData>
    <row r="1" spans="1:71" outlineLevel="2">
      <c r="A1" s="16" t="s">
        <v>222</v>
      </c>
    </row>
    <row r="2" spans="1:71" outlineLevel="2">
      <c r="A2" s="16" t="s">
        <v>223</v>
      </c>
    </row>
    <row r="3" spans="1:71" outlineLevel="2">
      <c r="A3" s="16" t="s">
        <v>224</v>
      </c>
    </row>
    <row r="4" spans="1:71" outlineLevel="2">
      <c r="A4" s="16" t="s">
        <v>225</v>
      </c>
      <c r="E4" s="20" t="s">
        <v>226</v>
      </c>
      <c r="F4" s="20"/>
      <c r="G4" s="20" t="s">
        <v>226</v>
      </c>
      <c r="H4" s="20"/>
      <c r="I4" s="21"/>
      <c r="J4" s="20"/>
      <c r="K4" s="20" t="s">
        <v>227</v>
      </c>
      <c r="L4" s="20"/>
      <c r="M4" s="20" t="s">
        <v>227</v>
      </c>
      <c r="N4" s="20"/>
      <c r="O4" s="21"/>
      <c r="P4" s="22"/>
      <c r="Q4" s="20" t="s">
        <v>228</v>
      </c>
      <c r="R4" s="20"/>
      <c r="S4" s="20" t="s">
        <v>228</v>
      </c>
      <c r="T4" s="20"/>
      <c r="U4" s="21"/>
      <c r="W4" s="20" t="s">
        <v>228</v>
      </c>
      <c r="X4" s="20"/>
      <c r="Y4" s="20" t="s">
        <v>228</v>
      </c>
      <c r="Z4" s="20"/>
      <c r="AA4" s="21"/>
      <c r="AB4" s="22"/>
      <c r="AC4" s="20" t="s">
        <v>228</v>
      </c>
      <c r="AD4" s="20"/>
      <c r="AE4" s="20" t="s">
        <v>228</v>
      </c>
      <c r="AF4" s="20"/>
      <c r="AG4" s="21"/>
      <c r="AH4" s="22"/>
      <c r="AI4" s="20" t="s">
        <v>228</v>
      </c>
      <c r="AJ4" s="20"/>
      <c r="AK4" s="20" t="s">
        <v>228</v>
      </c>
      <c r="AL4" s="20"/>
      <c r="AM4" s="21"/>
      <c r="AN4" s="22"/>
      <c r="AO4" s="20" t="s">
        <v>228</v>
      </c>
      <c r="AP4" s="20"/>
      <c r="AQ4" s="20" t="s">
        <v>228</v>
      </c>
      <c r="AR4" s="20"/>
      <c r="AS4" s="21"/>
      <c r="AT4" s="22"/>
      <c r="AU4" s="20"/>
      <c r="AV4" s="20"/>
      <c r="AW4" s="20"/>
      <c r="AX4" s="20"/>
      <c r="AY4" s="21"/>
      <c r="BA4" s="20" t="s">
        <v>228</v>
      </c>
      <c r="BB4" s="20" t="s">
        <v>228</v>
      </c>
      <c r="BC4" s="20" t="s">
        <v>228</v>
      </c>
      <c r="BD4" s="20"/>
      <c r="BE4" s="21"/>
      <c r="BG4" s="20" t="str">
        <f>+AO4</f>
        <v>AC sum RGFB</v>
      </c>
      <c r="BH4" s="20"/>
      <c r="BI4" s="20" t="str">
        <f>+AQ4</f>
        <v>AC sum RGFB</v>
      </c>
      <c r="BJ4" s="20"/>
      <c r="BK4" s="21"/>
      <c r="BL4" s="22"/>
      <c r="BN4" s="20" t="str">
        <f t="shared" ref="BN4:BP9" si="0">+BG4</f>
        <v>AC sum RGFB</v>
      </c>
      <c r="BO4" s="20">
        <f t="shared" si="0"/>
        <v>0</v>
      </c>
      <c r="BP4" s="20" t="str">
        <f t="shared" si="0"/>
        <v>AC sum RGFB</v>
      </c>
      <c r="BQ4" s="20"/>
      <c r="BR4" s="21"/>
      <c r="BS4" s="22"/>
    </row>
    <row r="5" spans="1:71" outlineLevel="2">
      <c r="E5" s="20" t="s">
        <v>229</v>
      </c>
      <c r="F5" s="20"/>
      <c r="G5" s="20" t="s">
        <v>230</v>
      </c>
      <c r="H5" s="20"/>
      <c r="I5" s="21"/>
      <c r="J5" s="20"/>
      <c r="K5" s="20" t="str">
        <f>E5</f>
        <v>CA=A</v>
      </c>
      <c r="L5" s="20" t="str">
        <f>K5</f>
        <v>CA=A</v>
      </c>
      <c r="M5" s="20" t="str">
        <f>G5</f>
        <v>CA=E</v>
      </c>
      <c r="N5" s="20" t="str">
        <f>M5</f>
        <v>CA=E</v>
      </c>
      <c r="O5" s="21"/>
      <c r="P5" s="22"/>
      <c r="Q5" s="20" t="str">
        <f>E5</f>
        <v>CA=A</v>
      </c>
      <c r="R5" s="20" t="str">
        <f>Q5</f>
        <v>CA=A</v>
      </c>
      <c r="S5" s="20" t="str">
        <f>G5</f>
        <v>CA=E</v>
      </c>
      <c r="T5" s="20" t="str">
        <f>S5</f>
        <v>CA=E</v>
      </c>
      <c r="U5" s="21"/>
      <c r="W5" s="20" t="str">
        <f>L5</f>
        <v>CA=A</v>
      </c>
      <c r="X5" s="20" t="str">
        <f t="shared" ref="X5:X10" si="1">W5</f>
        <v>CA=A</v>
      </c>
      <c r="Y5" s="20" t="str">
        <f>N5</f>
        <v>CA=E</v>
      </c>
      <c r="Z5" s="20" t="str">
        <f t="shared" ref="Z5:Z11" si="2">Y5</f>
        <v>CA=E</v>
      </c>
      <c r="AA5" s="21"/>
      <c r="AB5" s="22"/>
      <c r="AC5" s="20" t="str">
        <f>R5</f>
        <v>CA=A</v>
      </c>
      <c r="AD5" s="20" t="str">
        <f t="shared" ref="AD5:AD10" si="3">AC5</f>
        <v>CA=A</v>
      </c>
      <c r="AE5" s="20" t="str">
        <f>T5</f>
        <v>CA=E</v>
      </c>
      <c r="AF5" s="20" t="str">
        <f t="shared" ref="AF5:AF11" si="4">AE5</f>
        <v>CA=E</v>
      </c>
      <c r="AG5" s="21"/>
      <c r="AH5" s="22"/>
      <c r="AI5" s="20" t="str">
        <f>W5</f>
        <v>CA=A</v>
      </c>
      <c r="AJ5" s="20" t="str">
        <f t="shared" ref="AJ5:AJ10" si="5">AI5</f>
        <v>CA=A</v>
      </c>
      <c r="AK5" s="20" t="str">
        <f>Y5</f>
        <v>CA=E</v>
      </c>
      <c r="AL5" s="20" t="str">
        <f t="shared" ref="AL5:AL11" si="6">AK5</f>
        <v>CA=E</v>
      </c>
      <c r="AM5" s="21"/>
      <c r="AN5" s="22"/>
      <c r="AO5" s="20" t="str">
        <f>AC5</f>
        <v>CA=A</v>
      </c>
      <c r="AP5" s="20" t="str">
        <f t="shared" ref="AP5:AP10" si="7">AO5</f>
        <v>CA=A</v>
      </c>
      <c r="AQ5" s="20" t="str">
        <f>AE5</f>
        <v>CA=E</v>
      </c>
      <c r="AR5" s="20" t="str">
        <f t="shared" ref="AR5:AR11" si="8">AQ5</f>
        <v>CA=E</v>
      </c>
      <c r="AS5" s="21"/>
      <c r="AT5" s="22"/>
      <c r="AU5" s="20"/>
      <c r="AV5" s="20"/>
      <c r="AW5" s="20"/>
      <c r="AX5" s="20"/>
      <c r="AY5" s="21"/>
      <c r="BA5" s="20" t="str">
        <f>AO5</f>
        <v>CA=A</v>
      </c>
      <c r="BB5" s="20" t="str">
        <f>BA5</f>
        <v>CA=A</v>
      </c>
      <c r="BC5" s="20" t="str">
        <f>AQ5</f>
        <v>CA=E</v>
      </c>
      <c r="BD5" s="20" t="str">
        <f>BC5</f>
        <v>CA=E</v>
      </c>
      <c r="BE5" s="21"/>
      <c r="BG5" s="20" t="str">
        <f t="shared" ref="BG5:BI9" si="9">+AO5</f>
        <v>CA=A</v>
      </c>
      <c r="BH5" s="20" t="str">
        <f>BG5</f>
        <v>CA=A</v>
      </c>
      <c r="BI5" s="20" t="str">
        <f t="shared" si="9"/>
        <v>CA=E</v>
      </c>
      <c r="BJ5" s="20" t="str">
        <f t="shared" ref="BJ5:BJ11" si="10">BI5</f>
        <v>CA=E</v>
      </c>
      <c r="BK5" s="21"/>
      <c r="BL5" s="22"/>
      <c r="BN5" s="20" t="str">
        <f t="shared" si="0"/>
        <v>CA=A</v>
      </c>
      <c r="BO5" s="20" t="str">
        <f t="shared" si="0"/>
        <v>CA=A</v>
      </c>
      <c r="BP5" s="20" t="str">
        <f t="shared" si="0"/>
        <v>CA=E</v>
      </c>
      <c r="BQ5" s="20" t="str">
        <f t="shared" ref="BQ5:BQ11" si="11">BP5</f>
        <v>CA=E</v>
      </c>
      <c r="BR5" s="21"/>
      <c r="BS5" s="22"/>
    </row>
    <row r="6" spans="1:71" outlineLevel="2">
      <c r="E6" s="20" t="s">
        <v>231</v>
      </c>
      <c r="F6" s="20" t="s">
        <v>232</v>
      </c>
      <c r="G6" s="20" t="s">
        <v>231</v>
      </c>
      <c r="H6" s="20"/>
      <c r="I6" s="21"/>
      <c r="J6" s="20"/>
      <c r="K6" s="20" t="str">
        <f>E6</f>
        <v>DP=2026.03</v>
      </c>
      <c r="L6" s="20" t="str">
        <f>K6</f>
        <v>DP=2026.03</v>
      </c>
      <c r="M6" s="20" t="str">
        <f>G6</f>
        <v>DP=2026.03</v>
      </c>
      <c r="N6" s="20" t="str">
        <f>M6</f>
        <v>DP=2026.03</v>
      </c>
      <c r="O6" s="21"/>
      <c r="P6" s="22"/>
      <c r="Q6" s="20" t="str">
        <f>E6</f>
        <v>DP=2026.03</v>
      </c>
      <c r="R6" s="20" t="str">
        <f>Q6</f>
        <v>DP=2026.03</v>
      </c>
      <c r="S6" s="20" t="str">
        <f>G6</f>
        <v>DP=2026.03</v>
      </c>
      <c r="T6" s="20" t="str">
        <f>S6</f>
        <v>DP=2026.03</v>
      </c>
      <c r="U6" s="21"/>
      <c r="W6" s="20" t="str">
        <f>L6</f>
        <v>DP=2026.03</v>
      </c>
      <c r="X6" s="20" t="str">
        <f t="shared" si="1"/>
        <v>DP=2026.03</v>
      </c>
      <c r="Y6" s="20" t="str">
        <f>N6</f>
        <v>DP=2026.03</v>
      </c>
      <c r="Z6" s="20" t="str">
        <f t="shared" si="2"/>
        <v>DP=2026.03</v>
      </c>
      <c r="AA6" s="21"/>
      <c r="AB6" s="22"/>
      <c r="AC6" s="20" t="str">
        <f>R6</f>
        <v>DP=2026.03</v>
      </c>
      <c r="AD6" s="20" t="str">
        <f t="shared" si="3"/>
        <v>DP=2026.03</v>
      </c>
      <c r="AE6" s="20" t="str">
        <f>T6</f>
        <v>DP=2026.03</v>
      </c>
      <c r="AF6" s="20" t="str">
        <f t="shared" si="4"/>
        <v>DP=2026.03</v>
      </c>
      <c r="AG6" s="21"/>
      <c r="AH6" s="22"/>
      <c r="AI6" s="20" t="str">
        <f>W6</f>
        <v>DP=2026.03</v>
      </c>
      <c r="AJ6" s="20" t="str">
        <f t="shared" si="5"/>
        <v>DP=2026.03</v>
      </c>
      <c r="AK6" s="20" t="str">
        <f>Y6</f>
        <v>DP=2026.03</v>
      </c>
      <c r="AL6" s="20" t="str">
        <f t="shared" si="6"/>
        <v>DP=2026.03</v>
      </c>
      <c r="AM6" s="21"/>
      <c r="AN6" s="22"/>
      <c r="AO6" s="20" t="str">
        <f>AC6</f>
        <v>DP=2026.03</v>
      </c>
      <c r="AP6" s="20" t="str">
        <f t="shared" si="7"/>
        <v>DP=2026.03</v>
      </c>
      <c r="AQ6" s="20" t="str">
        <f>AE6</f>
        <v>DP=2026.03</v>
      </c>
      <c r="AR6" s="20" t="str">
        <f t="shared" si="8"/>
        <v>DP=2026.03</v>
      </c>
      <c r="AS6" s="21"/>
      <c r="AT6" s="22"/>
      <c r="AU6" s="20"/>
      <c r="AV6" s="20"/>
      <c r="AW6" s="20"/>
      <c r="AX6" s="20"/>
      <c r="AY6" s="21"/>
      <c r="BA6" s="20" t="str">
        <f>AO6</f>
        <v>DP=2026.03</v>
      </c>
      <c r="BB6" s="20" t="str">
        <f>BA6</f>
        <v>DP=2026.03</v>
      </c>
      <c r="BC6" s="20" t="str">
        <f>AQ6</f>
        <v>DP=2026.03</v>
      </c>
      <c r="BD6" s="20" t="str">
        <f>BC6</f>
        <v>DP=2026.03</v>
      </c>
      <c r="BE6" s="21"/>
      <c r="BG6" s="20" t="str">
        <f t="shared" si="9"/>
        <v>DP=2026.03</v>
      </c>
      <c r="BH6" s="20" t="str">
        <f>BG6</f>
        <v>DP=2026.03</v>
      </c>
      <c r="BI6" s="20" t="str">
        <f t="shared" si="9"/>
        <v>DP=2026.03</v>
      </c>
      <c r="BJ6" s="20" t="str">
        <f t="shared" si="10"/>
        <v>DP=2026.03</v>
      </c>
      <c r="BK6" s="21"/>
      <c r="BL6" s="22"/>
      <c r="BN6" s="20" t="str">
        <f t="shared" si="0"/>
        <v>DP=2026.03</v>
      </c>
      <c r="BO6" s="20" t="str">
        <f t="shared" si="0"/>
        <v>DP=2026.03</v>
      </c>
      <c r="BP6" s="20" t="str">
        <f t="shared" si="0"/>
        <v>DP=2026.03</v>
      </c>
      <c r="BQ6" s="20" t="str">
        <f t="shared" si="11"/>
        <v>DP=2026.03</v>
      </c>
      <c r="BR6" s="21"/>
      <c r="BS6" s="22"/>
    </row>
    <row r="7" spans="1:71" outlineLevel="2">
      <c r="E7" s="20" t="s">
        <v>233</v>
      </c>
      <c r="F7" s="20" t="s">
        <v>234</v>
      </c>
      <c r="G7" s="20" t="s">
        <v>233</v>
      </c>
      <c r="H7" s="20"/>
      <c r="I7" s="21"/>
      <c r="J7" s="20"/>
      <c r="K7" s="20" t="str">
        <f>E7</f>
        <v>PE=2026.03</v>
      </c>
      <c r="L7" s="20" t="str">
        <f>K7</f>
        <v>PE=2026.03</v>
      </c>
      <c r="M7" s="20" t="str">
        <f>G7</f>
        <v>PE=2026.03</v>
      </c>
      <c r="N7" s="20" t="str">
        <f>M7</f>
        <v>PE=2026.03</v>
      </c>
      <c r="O7" s="21"/>
      <c r="P7" s="22"/>
      <c r="Q7" s="20" t="str">
        <f>E7</f>
        <v>PE=2026.03</v>
      </c>
      <c r="R7" s="20" t="str">
        <f>Q7</f>
        <v>PE=2026.03</v>
      </c>
      <c r="S7" s="20" t="str">
        <f>G7</f>
        <v>PE=2026.03</v>
      </c>
      <c r="T7" s="20" t="str">
        <f>S7</f>
        <v>PE=2026.03</v>
      </c>
      <c r="U7" s="21"/>
      <c r="W7" s="20" t="str">
        <f>L7</f>
        <v>PE=2026.03</v>
      </c>
      <c r="X7" s="20" t="str">
        <f t="shared" si="1"/>
        <v>PE=2026.03</v>
      </c>
      <c r="Y7" s="20" t="str">
        <f>N7</f>
        <v>PE=2026.03</v>
      </c>
      <c r="Z7" s="20" t="str">
        <f t="shared" si="2"/>
        <v>PE=2026.03</v>
      </c>
      <c r="AA7" s="21"/>
      <c r="AB7" s="22"/>
      <c r="AC7" s="20" t="str">
        <f>R7</f>
        <v>PE=2026.03</v>
      </c>
      <c r="AD7" s="20" t="str">
        <f t="shared" si="3"/>
        <v>PE=2026.03</v>
      </c>
      <c r="AE7" s="20" t="str">
        <f>T7</f>
        <v>PE=2026.03</v>
      </c>
      <c r="AF7" s="20" t="str">
        <f t="shared" si="4"/>
        <v>PE=2026.03</v>
      </c>
      <c r="AG7" s="21"/>
      <c r="AH7" s="22"/>
      <c r="AI7" s="20" t="str">
        <f>W7</f>
        <v>PE=2026.03</v>
      </c>
      <c r="AJ7" s="20" t="str">
        <f t="shared" si="5"/>
        <v>PE=2026.03</v>
      </c>
      <c r="AK7" s="20" t="str">
        <f>Y7</f>
        <v>PE=2026.03</v>
      </c>
      <c r="AL7" s="20" t="str">
        <f t="shared" si="6"/>
        <v>PE=2026.03</v>
      </c>
      <c r="AM7" s="21"/>
      <c r="AN7" s="22"/>
      <c r="AO7" s="20" t="str">
        <f>AC7</f>
        <v>PE=2026.03</v>
      </c>
      <c r="AP7" s="20" t="str">
        <f t="shared" si="7"/>
        <v>PE=2026.03</v>
      </c>
      <c r="AQ7" s="20" t="str">
        <f>AE7</f>
        <v>PE=2026.03</v>
      </c>
      <c r="AR7" s="20" t="str">
        <f t="shared" si="8"/>
        <v>PE=2026.03</v>
      </c>
      <c r="AS7" s="21"/>
      <c r="AT7" s="22"/>
      <c r="AU7" s="20"/>
      <c r="AV7" s="20"/>
      <c r="AW7" s="20"/>
      <c r="AX7" s="20"/>
      <c r="AY7" s="21"/>
      <c r="BA7" s="20" t="str">
        <f>AO7</f>
        <v>PE=2026.03</v>
      </c>
      <c r="BB7" s="20" t="str">
        <f>BA7</f>
        <v>PE=2026.03</v>
      </c>
      <c r="BC7" s="20" t="str">
        <f>AQ7</f>
        <v>PE=2026.03</v>
      </c>
      <c r="BD7" s="20" t="str">
        <f>BC7</f>
        <v>PE=2026.03</v>
      </c>
      <c r="BE7" s="21"/>
      <c r="BG7" s="20" t="str">
        <f t="shared" si="9"/>
        <v>PE=2026.03</v>
      </c>
      <c r="BH7" s="20" t="str">
        <f>BG7</f>
        <v>PE=2026.03</v>
      </c>
      <c r="BI7" s="20" t="str">
        <f t="shared" si="9"/>
        <v>PE=2026.03</v>
      </c>
      <c r="BJ7" s="20" t="str">
        <f t="shared" si="10"/>
        <v>PE=2026.03</v>
      </c>
      <c r="BK7" s="21"/>
      <c r="BL7" s="22"/>
      <c r="BN7" s="20" t="str">
        <f t="shared" si="0"/>
        <v>PE=2026.03</v>
      </c>
      <c r="BO7" s="20" t="str">
        <f t="shared" si="0"/>
        <v>PE=2026.03</v>
      </c>
      <c r="BP7" s="20" t="str">
        <f t="shared" si="0"/>
        <v>PE=2026.03</v>
      </c>
      <c r="BQ7" s="20" t="str">
        <f t="shared" si="11"/>
        <v>PE=2026.03</v>
      </c>
      <c r="BR7" s="21"/>
      <c r="BS7" s="22"/>
    </row>
    <row r="8" spans="1:71" outlineLevel="2">
      <c r="E8" s="20" t="str">
        <f>VLOOKUP([6]Présentation!$E$31,[6]Présentation!$B$93:$C$94,2,FALSE)</f>
        <v>AU sum GEST00</v>
      </c>
      <c r="F8" s="20"/>
      <c r="G8" s="20" t="str">
        <f>VLOOKUP([6]Présentation!$E$31,[6]Présentation!$B$93:$C$94,2,FALSE)</f>
        <v>AU sum GEST00</v>
      </c>
      <c r="H8" s="20"/>
      <c r="I8" s="21"/>
      <c r="J8" s="20"/>
      <c r="K8" s="20" t="str">
        <f>E8</f>
        <v>AU sum GEST00</v>
      </c>
      <c r="L8" s="20" t="str">
        <f>K8</f>
        <v>AU sum GEST00</v>
      </c>
      <c r="M8" s="20" t="str">
        <f>G8</f>
        <v>AU sum GEST00</v>
      </c>
      <c r="N8" s="20" t="str">
        <f>M8</f>
        <v>AU sum GEST00</v>
      </c>
      <c r="O8" s="21"/>
      <c r="P8" s="22"/>
      <c r="Q8" s="20" t="str">
        <f>E8</f>
        <v>AU sum GEST00</v>
      </c>
      <c r="R8" s="20" t="str">
        <f>Q8</f>
        <v>AU sum GEST00</v>
      </c>
      <c r="S8" s="20" t="str">
        <f>G8</f>
        <v>AU sum GEST00</v>
      </c>
      <c r="T8" s="20" t="str">
        <f>S8</f>
        <v>AU sum GEST00</v>
      </c>
      <c r="U8" s="21"/>
      <c r="W8" s="20" t="str">
        <f>L8</f>
        <v>AU sum GEST00</v>
      </c>
      <c r="X8" s="20" t="str">
        <f t="shared" si="1"/>
        <v>AU sum GEST00</v>
      </c>
      <c r="Y8" s="20" t="str">
        <f>N8</f>
        <v>AU sum GEST00</v>
      </c>
      <c r="Z8" s="20" t="str">
        <f t="shared" si="2"/>
        <v>AU sum GEST00</v>
      </c>
      <c r="AA8" s="21"/>
      <c r="AB8" s="22"/>
      <c r="AC8" s="20" t="str">
        <f>R8</f>
        <v>AU sum GEST00</v>
      </c>
      <c r="AD8" s="20" t="str">
        <f t="shared" si="3"/>
        <v>AU sum GEST00</v>
      </c>
      <c r="AE8" s="20" t="str">
        <f>T8</f>
        <v>AU sum GEST00</v>
      </c>
      <c r="AF8" s="20" t="str">
        <f t="shared" si="4"/>
        <v>AU sum GEST00</v>
      </c>
      <c r="AG8" s="21"/>
      <c r="AH8" s="22"/>
      <c r="AI8" s="20" t="str">
        <f>W8</f>
        <v>AU sum GEST00</v>
      </c>
      <c r="AJ8" s="20" t="str">
        <f t="shared" si="5"/>
        <v>AU sum GEST00</v>
      </c>
      <c r="AK8" s="20" t="str">
        <f>Y8</f>
        <v>AU sum GEST00</v>
      </c>
      <c r="AL8" s="20" t="str">
        <f t="shared" si="6"/>
        <v>AU sum GEST00</v>
      </c>
      <c r="AM8" s="21"/>
      <c r="AN8" s="22"/>
      <c r="AO8" s="20" t="str">
        <f>AC8</f>
        <v>AU sum GEST00</v>
      </c>
      <c r="AP8" s="20" t="str">
        <f t="shared" si="7"/>
        <v>AU sum GEST00</v>
      </c>
      <c r="AQ8" s="20" t="str">
        <f>AE8</f>
        <v>AU sum GEST00</v>
      </c>
      <c r="AR8" s="20" t="str">
        <f t="shared" si="8"/>
        <v>AU sum GEST00</v>
      </c>
      <c r="AS8" s="21"/>
      <c r="AT8" s="22"/>
      <c r="AU8" s="20"/>
      <c r="AV8" s="20"/>
      <c r="AW8" s="20"/>
      <c r="AX8" s="20"/>
      <c r="AY8" s="21"/>
      <c r="BA8" s="20" t="str">
        <f>AO8</f>
        <v>AU sum GEST00</v>
      </c>
      <c r="BB8" s="20" t="str">
        <f>BA8</f>
        <v>AU sum GEST00</v>
      </c>
      <c r="BC8" s="20" t="str">
        <f>AQ8</f>
        <v>AU sum GEST00</v>
      </c>
      <c r="BD8" s="20" t="str">
        <f>BC8</f>
        <v>AU sum GEST00</v>
      </c>
      <c r="BE8" s="21"/>
      <c r="BG8" s="20" t="str">
        <f t="shared" si="9"/>
        <v>AU sum GEST00</v>
      </c>
      <c r="BH8" s="20" t="str">
        <f>BG8</f>
        <v>AU sum GEST00</v>
      </c>
      <c r="BI8" s="20" t="str">
        <f t="shared" si="9"/>
        <v>AU sum GEST00</v>
      </c>
      <c r="BJ8" s="20" t="str">
        <f t="shared" si="10"/>
        <v>AU sum GEST00</v>
      </c>
      <c r="BK8" s="21"/>
      <c r="BL8" s="22"/>
      <c r="BN8" s="20" t="str">
        <f t="shared" si="0"/>
        <v>AU sum GEST00</v>
      </c>
      <c r="BO8" s="20" t="str">
        <f t="shared" si="0"/>
        <v>AU sum GEST00</v>
      </c>
      <c r="BP8" s="20" t="str">
        <f t="shared" si="0"/>
        <v>AU sum GEST00</v>
      </c>
      <c r="BQ8" s="20" t="str">
        <f t="shared" si="11"/>
        <v>AU sum GEST00</v>
      </c>
      <c r="BR8" s="21"/>
      <c r="BS8" s="22"/>
    </row>
    <row r="9" spans="1:71" outlineLevel="2">
      <c r="E9" s="20" t="str">
        <f>VLOOKUP([6]Présentation!$E$38,[6]Présentation!$B$60:$C$61,2,FALSE)</f>
        <v>VA=RECOMPO</v>
      </c>
      <c r="F9" s="20"/>
      <c r="G9" s="20" t="str">
        <f>VLOOKUP([6]Présentation!$E$38,[6]Présentation!$B$60:$C$61,2,FALSE)</f>
        <v>VA=RECOMPO</v>
      </c>
      <c r="H9" s="20"/>
      <c r="I9" s="21"/>
      <c r="J9" s="20"/>
      <c r="K9" s="20" t="str">
        <f>E9</f>
        <v>VA=RECOMPO</v>
      </c>
      <c r="L9" s="20" t="str">
        <f>K9</f>
        <v>VA=RECOMPO</v>
      </c>
      <c r="M9" s="20" t="str">
        <f>G9</f>
        <v>VA=RECOMPO</v>
      </c>
      <c r="N9" s="20" t="str">
        <f>M9</f>
        <v>VA=RECOMPO</v>
      </c>
      <c r="O9" s="21"/>
      <c r="P9" s="22"/>
      <c r="Q9" s="20" t="str">
        <f>E9</f>
        <v>VA=RECOMPO</v>
      </c>
      <c r="R9" s="20" t="str">
        <f>Q9</f>
        <v>VA=RECOMPO</v>
      </c>
      <c r="S9" s="20" t="str">
        <f>G9</f>
        <v>VA=RECOMPO</v>
      </c>
      <c r="T9" s="20" t="str">
        <f>S9</f>
        <v>VA=RECOMPO</v>
      </c>
      <c r="U9" s="21"/>
      <c r="W9" s="20" t="str">
        <f>L9</f>
        <v>VA=RECOMPO</v>
      </c>
      <c r="X9" s="20" t="str">
        <f t="shared" si="1"/>
        <v>VA=RECOMPO</v>
      </c>
      <c r="Y9" s="20" t="str">
        <f>N9</f>
        <v>VA=RECOMPO</v>
      </c>
      <c r="Z9" s="20" t="str">
        <f t="shared" si="2"/>
        <v>VA=RECOMPO</v>
      </c>
      <c r="AA9" s="21"/>
      <c r="AB9" s="22"/>
      <c r="AC9" s="20" t="str">
        <f>R9</f>
        <v>VA=RECOMPO</v>
      </c>
      <c r="AD9" s="20" t="str">
        <f t="shared" si="3"/>
        <v>VA=RECOMPO</v>
      </c>
      <c r="AE9" s="20" t="str">
        <f>T9</f>
        <v>VA=RECOMPO</v>
      </c>
      <c r="AF9" s="20" t="str">
        <f t="shared" si="4"/>
        <v>VA=RECOMPO</v>
      </c>
      <c r="AG9" s="21"/>
      <c r="AH9" s="22"/>
      <c r="AI9" s="20" t="str">
        <f>W9</f>
        <v>VA=RECOMPO</v>
      </c>
      <c r="AJ9" s="20" t="str">
        <f t="shared" si="5"/>
        <v>VA=RECOMPO</v>
      </c>
      <c r="AK9" s="20" t="str">
        <f>Y9</f>
        <v>VA=RECOMPO</v>
      </c>
      <c r="AL9" s="20" t="str">
        <f t="shared" si="6"/>
        <v>VA=RECOMPO</v>
      </c>
      <c r="AM9" s="21"/>
      <c r="AN9" s="22"/>
      <c r="AO9" s="20" t="str">
        <f>AC9</f>
        <v>VA=RECOMPO</v>
      </c>
      <c r="AP9" s="20" t="str">
        <f t="shared" si="7"/>
        <v>VA=RECOMPO</v>
      </c>
      <c r="AQ9" s="20" t="str">
        <f>AE9</f>
        <v>VA=RECOMPO</v>
      </c>
      <c r="AR9" s="20" t="str">
        <f t="shared" si="8"/>
        <v>VA=RECOMPO</v>
      </c>
      <c r="AS9" s="21"/>
      <c r="AT9" s="22"/>
      <c r="AU9" s="20"/>
      <c r="AV9" s="20"/>
      <c r="AW9" s="20"/>
      <c r="AX9" s="20"/>
      <c r="AY9" s="21"/>
      <c r="BA9" s="20" t="str">
        <f>AO9</f>
        <v>VA=RECOMPO</v>
      </c>
      <c r="BB9" s="20" t="str">
        <f>BA9</f>
        <v>VA=RECOMPO</v>
      </c>
      <c r="BC9" s="20" t="str">
        <f>AQ9</f>
        <v>VA=RECOMPO</v>
      </c>
      <c r="BD9" s="20" t="str">
        <f>BC9</f>
        <v>VA=RECOMPO</v>
      </c>
      <c r="BE9" s="21"/>
      <c r="BG9" s="20" t="str">
        <f t="shared" si="9"/>
        <v>VA=RECOMPO</v>
      </c>
      <c r="BH9" s="20" t="str">
        <f>BG9</f>
        <v>VA=RECOMPO</v>
      </c>
      <c r="BI9" s="20" t="str">
        <f t="shared" si="9"/>
        <v>VA=RECOMPO</v>
      </c>
      <c r="BJ9" s="20" t="str">
        <f t="shared" si="10"/>
        <v>VA=RECOMPO</v>
      </c>
      <c r="BK9" s="21"/>
      <c r="BL9" s="22"/>
      <c r="BN9" s="20" t="str">
        <f t="shared" si="0"/>
        <v>VA=RECOMPO</v>
      </c>
      <c r="BO9" s="20" t="str">
        <f t="shared" si="0"/>
        <v>VA=RECOMPO</v>
      </c>
      <c r="BP9" s="20" t="str">
        <f t="shared" si="0"/>
        <v>VA=RECOMPO</v>
      </c>
      <c r="BQ9" s="20" t="str">
        <f t="shared" si="11"/>
        <v>VA=RECOMPO</v>
      </c>
      <c r="BR9" s="21"/>
      <c r="BS9" s="22"/>
    </row>
    <row r="10" spans="1:71" outlineLevel="2">
      <c r="E10" s="20" t="s">
        <v>235</v>
      </c>
      <c r="F10" s="20"/>
      <c r="G10" s="20" t="s">
        <v>235</v>
      </c>
      <c r="H10" s="20"/>
      <c r="I10" s="21"/>
      <c r="J10" s="20"/>
      <c r="K10" s="20" t="s">
        <v>236</v>
      </c>
      <c r="L10" s="20" t="s">
        <v>237</v>
      </c>
      <c r="M10" s="20" t="s">
        <v>236</v>
      </c>
      <c r="N10" s="20" t="s">
        <v>237</v>
      </c>
      <c r="O10" s="21"/>
      <c r="P10" s="22"/>
      <c r="Q10" s="20" t="s">
        <v>238</v>
      </c>
      <c r="R10" s="20" t="s">
        <v>239</v>
      </c>
      <c r="S10" s="20" t="s">
        <v>238</v>
      </c>
      <c r="T10" s="20" t="s">
        <v>239</v>
      </c>
      <c r="U10" s="21"/>
      <c r="W10" s="20" t="s">
        <v>240</v>
      </c>
      <c r="X10" s="20" t="str">
        <f t="shared" si="1"/>
        <v>AC=GRITC001</v>
      </c>
      <c r="Y10" s="20" t="str">
        <f>W10</f>
        <v>AC=GRITC001</v>
      </c>
      <c r="Z10" s="20" t="str">
        <f t="shared" si="2"/>
        <v>AC=GRITC001</v>
      </c>
      <c r="AA10" s="21"/>
      <c r="AB10" s="22"/>
      <c r="AC10" s="23" t="s">
        <v>241</v>
      </c>
      <c r="AD10" s="23" t="str">
        <f t="shared" si="3"/>
        <v>AC=GRITC002</v>
      </c>
      <c r="AE10" s="23" t="str">
        <f>AC10</f>
        <v>AC=GRITC002</v>
      </c>
      <c r="AF10" s="23" t="str">
        <f t="shared" si="4"/>
        <v>AC=GRITC002</v>
      </c>
      <c r="AG10" s="21"/>
      <c r="AH10" s="22"/>
      <c r="AI10" s="23" t="s">
        <v>242</v>
      </c>
      <c r="AJ10" s="23" t="str">
        <f t="shared" si="5"/>
        <v>{AC=GRITC003}+{AC=GRITC004}+{AC=GRITC005}</v>
      </c>
      <c r="AK10" s="23" t="str">
        <f>AI10</f>
        <v>{AC=GRITC003}+{AC=GRITC004}+{AC=GRITC005}</v>
      </c>
      <c r="AL10" s="23" t="str">
        <f t="shared" si="6"/>
        <v>{AC=GRITC003}+{AC=GRITC004}+{AC=GRITC005}</v>
      </c>
      <c r="AM10" s="21"/>
      <c r="AN10" s="22"/>
      <c r="AO10" s="20" t="s">
        <v>243</v>
      </c>
      <c r="AP10" s="20" t="str">
        <f t="shared" si="7"/>
        <v>{AC=GFB130}+{AC=GFB110}</v>
      </c>
      <c r="AQ10" s="20" t="str">
        <f>AO10</f>
        <v>{AC=GFB130}+{AC=GFB110}</v>
      </c>
      <c r="AR10" s="20" t="str">
        <f t="shared" si="8"/>
        <v>{AC=GFB130}+{AC=GFB110}</v>
      </c>
      <c r="AS10" s="21"/>
      <c r="AT10" s="22"/>
      <c r="AU10" s="20"/>
      <c r="AV10" s="20"/>
      <c r="AW10" s="20"/>
      <c r="AX10" s="20"/>
      <c r="AY10" s="21"/>
      <c r="BA10" s="20" t="s">
        <v>238</v>
      </c>
      <c r="BB10" s="20" t="s">
        <v>239</v>
      </c>
      <c r="BC10" s="20" t="s">
        <v>238</v>
      </c>
      <c r="BD10" s="20" t="s">
        <v>239</v>
      </c>
      <c r="BE10" s="21"/>
      <c r="BG10" s="20" t="s">
        <v>244</v>
      </c>
      <c r="BH10" s="20"/>
      <c r="BI10" s="20" t="s">
        <v>244</v>
      </c>
      <c r="BJ10" s="20"/>
      <c r="BK10" s="21"/>
      <c r="BL10" s="22"/>
      <c r="BN10" s="20" t="s">
        <v>245</v>
      </c>
      <c r="BO10" s="20" t="str">
        <f>BN10</f>
        <v>{AC=GFB110}</v>
      </c>
      <c r="BP10" s="20" t="str">
        <f>+BN10</f>
        <v>{AC=GFB110}</v>
      </c>
      <c r="BQ10" s="20" t="str">
        <f t="shared" si="11"/>
        <v>{AC=GFB110}</v>
      </c>
      <c r="BR10" s="21"/>
      <c r="BS10" s="22"/>
    </row>
    <row r="11" spans="1:71" ht="45" customHeight="1">
      <c r="D11" s="24" t="s">
        <v>246</v>
      </c>
      <c r="E11" s="275" t="str">
        <f>CHOOSE([6]Traduction!$A$2,[6]Traduction!$A94,[6]Traduction!$B94)</f>
        <v>Net Banking Income +
Result of Co-Dev JVs</v>
      </c>
      <c r="F11" s="275"/>
      <c r="G11" s="275"/>
      <c r="H11" s="275"/>
      <c r="I11" s="275"/>
      <c r="J11" s="25"/>
      <c r="K11" s="275" t="str">
        <f>CHOOSE([6]Traduction!$A$2,[6]Traduction!$A40,[6]Traduction!$B40)</f>
        <v xml:space="preserve">General Operating Expenses </v>
      </c>
      <c r="L11" s="275"/>
      <c r="M11" s="275"/>
      <c r="N11" s="275"/>
      <c r="O11" s="275"/>
      <c r="P11" s="26"/>
      <c r="Q11" s="275" t="str">
        <f>CHOOSE([6]Traduction!$A$2,[6]Traduction!$A41,[6]Traduction!$B41)</f>
        <v>Pre-Tax Income</v>
      </c>
      <c r="R11" s="275"/>
      <c r="S11" s="275"/>
      <c r="T11" s="275"/>
      <c r="U11" s="275"/>
      <c r="V11" s="27"/>
      <c r="W11" s="269" t="s">
        <v>247</v>
      </c>
      <c r="X11" s="269"/>
      <c r="Y11" s="269"/>
      <c r="Z11" s="269">
        <f t="shared" si="2"/>
        <v>0</v>
      </c>
      <c r="AA11" s="269"/>
      <c r="AB11" s="27"/>
      <c r="AC11" s="269" t="s">
        <v>248</v>
      </c>
      <c r="AD11" s="269"/>
      <c r="AE11" s="269"/>
      <c r="AF11" s="269">
        <f t="shared" si="4"/>
        <v>0</v>
      </c>
      <c r="AG11" s="269"/>
      <c r="AH11" s="27"/>
      <c r="AI11" s="269" t="s">
        <v>249</v>
      </c>
      <c r="AJ11" s="269"/>
      <c r="AK11" s="269"/>
      <c r="AL11" s="269">
        <f t="shared" si="6"/>
        <v>0</v>
      </c>
      <c r="AM11" s="269"/>
      <c r="AN11" s="27"/>
      <c r="AO11" s="269" t="s">
        <v>250</v>
      </c>
      <c r="AP11" s="269"/>
      <c r="AQ11" s="269"/>
      <c r="AR11" s="269">
        <f t="shared" si="8"/>
        <v>0</v>
      </c>
      <c r="AS11" s="269"/>
      <c r="AT11" s="26"/>
      <c r="AU11" s="270" t="s">
        <v>251</v>
      </c>
      <c r="AV11" s="270"/>
      <c r="AW11" s="270"/>
      <c r="AX11" s="270"/>
      <c r="AY11" s="270"/>
      <c r="AZ11" s="27"/>
      <c r="BA11" s="28"/>
      <c r="BB11" s="28"/>
      <c r="BC11" s="28"/>
      <c r="BD11" s="28"/>
      <c r="BE11" s="28"/>
      <c r="BG11" s="269" t="s">
        <v>250</v>
      </c>
      <c r="BH11" s="269"/>
      <c r="BI11" s="269"/>
      <c r="BJ11" s="269">
        <f t="shared" si="10"/>
        <v>0</v>
      </c>
      <c r="BK11" s="269"/>
      <c r="BL11" s="26"/>
      <c r="BN11" s="269" t="s">
        <v>250</v>
      </c>
      <c r="BO11" s="269"/>
      <c r="BP11" s="269"/>
      <c r="BQ11" s="269">
        <f t="shared" si="11"/>
        <v>0</v>
      </c>
      <c r="BR11" s="269"/>
      <c r="BS11" s="26"/>
    </row>
    <row r="12" spans="1:71" ht="5.25" customHeight="1" collapsed="1">
      <c r="D12" s="29"/>
      <c r="P12" s="30"/>
      <c r="AB12" s="30"/>
      <c r="AH12" s="30"/>
      <c r="AN12" s="30"/>
      <c r="AT12" s="30"/>
      <c r="BA12" s="20"/>
      <c r="BL12" s="30"/>
      <c r="BS12" s="30"/>
    </row>
    <row r="13" spans="1:71" ht="24.9" customHeight="1" thickBot="1">
      <c r="A13" s="16" t="s">
        <v>252</v>
      </c>
      <c r="D13" s="31"/>
      <c r="E13" s="271"/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33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K13" s="16"/>
      <c r="BL13" s="16"/>
      <c r="BR13" s="16"/>
      <c r="BS13" s="16"/>
    </row>
    <row r="14" spans="1:71" s="25" customFormat="1" ht="7.5" customHeight="1">
      <c r="D14" s="273" t="s">
        <v>253</v>
      </c>
      <c r="E14" s="266" t="s">
        <v>254</v>
      </c>
      <c r="F14" s="34"/>
      <c r="G14" s="262" t="s">
        <v>255</v>
      </c>
      <c r="H14" s="34"/>
      <c r="I14" s="264" t="s">
        <v>256</v>
      </c>
      <c r="J14" s="35"/>
      <c r="K14" s="266" t="str">
        <f>E14</f>
        <v>Actual Q1 2026</v>
      </c>
      <c r="L14" s="34"/>
      <c r="M14" s="262" t="str">
        <f>G14</f>
        <v>Estimate March Q1 2026</v>
      </c>
      <c r="N14" s="36"/>
      <c r="O14" s="264" t="str">
        <f>I14</f>
        <v>Variances</v>
      </c>
      <c r="P14" s="37"/>
      <c r="Q14" s="266" t="str">
        <f>E14</f>
        <v>Actual Q1 2026</v>
      </c>
      <c r="R14" s="36"/>
      <c r="S14" s="262" t="str">
        <f>G14</f>
        <v>Estimate March Q1 2026</v>
      </c>
      <c r="T14" s="36"/>
      <c r="U14" s="264" t="str">
        <f>I14</f>
        <v>Variances</v>
      </c>
      <c r="W14" s="266" t="str">
        <f>E14</f>
        <v>Actual Q1 2026</v>
      </c>
      <c r="X14" s="36"/>
      <c r="Y14" s="262" t="str">
        <f>G14</f>
        <v>Estimate March Q1 2026</v>
      </c>
      <c r="Z14" s="36"/>
      <c r="AA14" s="264" t="str">
        <f>I14</f>
        <v>Variances</v>
      </c>
      <c r="AB14" s="37"/>
      <c r="AC14" s="266" t="str">
        <f>W14</f>
        <v>Actual Q1 2026</v>
      </c>
      <c r="AD14" s="36"/>
      <c r="AE14" s="262" t="str">
        <f>Y14</f>
        <v>Estimate March Q1 2026</v>
      </c>
      <c r="AF14" s="36"/>
      <c r="AG14" s="264" t="str">
        <f>AA14</f>
        <v>Variances</v>
      </c>
      <c r="AH14" s="37"/>
      <c r="AI14" s="266" t="str">
        <f>W14</f>
        <v>Actual Q1 2026</v>
      </c>
      <c r="AJ14" s="36"/>
      <c r="AK14" s="262" t="str">
        <f>Y14</f>
        <v>Estimate March Q1 2026</v>
      </c>
      <c r="AL14" s="36"/>
      <c r="AM14" s="264" t="str">
        <f>AA14</f>
        <v>Variances</v>
      </c>
      <c r="AN14" s="37"/>
      <c r="AO14" s="266" t="str">
        <f>AC14</f>
        <v>Actual Q1 2026</v>
      </c>
      <c r="AP14" s="36"/>
      <c r="AQ14" s="262" t="str">
        <f>AE14</f>
        <v>Estimate March Q1 2026</v>
      </c>
      <c r="AR14" s="36"/>
      <c r="AS14" s="264" t="str">
        <f>AG14</f>
        <v>Variances</v>
      </c>
      <c r="AT14" s="37"/>
      <c r="AU14" s="266" t="str">
        <f>AI14</f>
        <v>Actual Q1 2026</v>
      </c>
      <c r="AV14" s="36"/>
      <c r="AW14" s="262" t="str">
        <f>AK14</f>
        <v>Estimate March Q1 2026</v>
      </c>
      <c r="AX14" s="36"/>
      <c r="AY14" s="264" t="str">
        <f>AM14</f>
        <v>Variances</v>
      </c>
      <c r="BA14" s="266" t="str">
        <f>AO14</f>
        <v>Actual Q1 2026</v>
      </c>
      <c r="BB14" s="36"/>
      <c r="BC14" s="262" t="str">
        <f>AQ14</f>
        <v>Estimate March Q1 2026</v>
      </c>
      <c r="BD14" s="36"/>
      <c r="BE14" s="264" t="str">
        <f>AS14 &amp; " excl. Management Fees and equivalent "</f>
        <v xml:space="preserve">Variances excl. Management Fees and equivalent </v>
      </c>
      <c r="BG14" s="266" t="str">
        <f>AU14</f>
        <v>Actual Q1 2026</v>
      </c>
      <c r="BH14" s="36"/>
      <c r="BI14" s="262" t="str">
        <f>AW14</f>
        <v>Estimate March Q1 2026</v>
      </c>
      <c r="BJ14" s="36"/>
      <c r="BK14" s="264" t="str">
        <f>AY14</f>
        <v>Variances</v>
      </c>
      <c r="BL14" s="37"/>
      <c r="BN14" s="266">
        <f>BB14</f>
        <v>0</v>
      </c>
      <c r="BO14" s="36"/>
      <c r="BP14" s="262">
        <f>BD14</f>
        <v>0</v>
      </c>
      <c r="BQ14" s="36"/>
      <c r="BR14" s="264">
        <f>BF14</f>
        <v>0</v>
      </c>
      <c r="BS14" s="37"/>
    </row>
    <row r="15" spans="1:71" s="25" customFormat="1" ht="36.75" customHeight="1">
      <c r="D15" s="274"/>
      <c r="E15" s="267" t="s">
        <v>257</v>
      </c>
      <c r="F15" s="35"/>
      <c r="G15" s="263" t="s">
        <v>257</v>
      </c>
      <c r="H15" s="35"/>
      <c r="I15" s="268"/>
      <c r="J15" s="35"/>
      <c r="K15" s="267" t="e">
        <f>VLOOKUP([6]Présentation!$D$30,[6]Présentation!#REF!,2,FALSE)</f>
        <v>#REF!</v>
      </c>
      <c r="L15" s="35"/>
      <c r="M15" s="263" t="e">
        <f>VLOOKUP([6]Présentation!$D$30,[6]Présentation!#REF!,8,FALSE)</f>
        <v>#REF!</v>
      </c>
      <c r="N15" s="38"/>
      <c r="O15" s="268"/>
      <c r="P15" s="37"/>
      <c r="Q15" s="267" t="s">
        <v>257</v>
      </c>
      <c r="R15" s="38"/>
      <c r="S15" s="263" t="s">
        <v>257</v>
      </c>
      <c r="T15" s="38"/>
      <c r="U15" s="265"/>
      <c r="W15" s="267" t="s">
        <v>257</v>
      </c>
      <c r="X15" s="38"/>
      <c r="Y15" s="263" t="s">
        <v>257</v>
      </c>
      <c r="Z15" s="38"/>
      <c r="AA15" s="265"/>
      <c r="AB15" s="37"/>
      <c r="AC15" s="267" t="s">
        <v>257</v>
      </c>
      <c r="AD15" s="38"/>
      <c r="AE15" s="263" t="s">
        <v>257</v>
      </c>
      <c r="AF15" s="38"/>
      <c r="AG15" s="265"/>
      <c r="AH15" s="37"/>
      <c r="AI15" s="267" t="s">
        <v>257</v>
      </c>
      <c r="AJ15" s="38"/>
      <c r="AK15" s="263" t="s">
        <v>257</v>
      </c>
      <c r="AL15" s="38"/>
      <c r="AM15" s="265"/>
      <c r="AN15" s="37"/>
      <c r="AO15" s="267" t="s">
        <v>257</v>
      </c>
      <c r="AP15" s="38"/>
      <c r="AQ15" s="263" t="s">
        <v>257</v>
      </c>
      <c r="AR15" s="38"/>
      <c r="AS15" s="265"/>
      <c r="AT15" s="37"/>
      <c r="AU15" s="267" t="s">
        <v>257</v>
      </c>
      <c r="AV15" s="38"/>
      <c r="AW15" s="263" t="s">
        <v>257</v>
      </c>
      <c r="AX15" s="38"/>
      <c r="AY15" s="265"/>
      <c r="BA15" s="267" t="s">
        <v>257</v>
      </c>
      <c r="BB15" s="38"/>
      <c r="BC15" s="263" t="s">
        <v>257</v>
      </c>
      <c r="BD15" s="38"/>
      <c r="BE15" s="268" t="s">
        <v>258</v>
      </c>
      <c r="BG15" s="267" t="s">
        <v>257</v>
      </c>
      <c r="BH15" s="38"/>
      <c r="BI15" s="263" t="s">
        <v>257</v>
      </c>
      <c r="BJ15" s="38"/>
      <c r="BK15" s="265"/>
      <c r="BL15" s="37"/>
      <c r="BN15" s="267" t="s">
        <v>257</v>
      </c>
      <c r="BO15" s="38"/>
      <c r="BP15" s="263" t="s">
        <v>257</v>
      </c>
      <c r="BQ15" s="38"/>
      <c r="BR15" s="265"/>
      <c r="BS15" s="37"/>
    </row>
    <row r="16" spans="1:71" ht="5.25" customHeight="1">
      <c r="E16" s="39"/>
      <c r="F16" s="17"/>
      <c r="G16" s="40"/>
      <c r="H16" s="17"/>
      <c r="I16" s="41"/>
      <c r="J16" s="42"/>
      <c r="K16" s="39"/>
      <c r="L16" s="17"/>
      <c r="M16" s="40"/>
      <c r="N16" s="17"/>
      <c r="O16" s="41"/>
      <c r="P16" s="43"/>
      <c r="Q16" s="39"/>
      <c r="R16" s="17"/>
      <c r="S16" s="40"/>
      <c r="T16" s="17"/>
      <c r="U16" s="41"/>
      <c r="V16" s="25"/>
      <c r="W16" s="39"/>
      <c r="X16" s="17"/>
      <c r="Y16" s="40"/>
      <c r="Z16" s="17"/>
      <c r="AA16" s="41"/>
      <c r="AB16" s="43"/>
      <c r="AC16" s="39"/>
      <c r="AD16" s="17"/>
      <c r="AE16" s="40"/>
      <c r="AF16" s="17"/>
      <c r="AG16" s="41"/>
      <c r="AH16" s="43"/>
      <c r="AI16" s="39"/>
      <c r="AJ16" s="17"/>
      <c r="AK16" s="40"/>
      <c r="AL16" s="17"/>
      <c r="AM16" s="41"/>
      <c r="AN16" s="43"/>
      <c r="AO16" s="39"/>
      <c r="AP16" s="17"/>
      <c r="AQ16" s="40"/>
      <c r="AR16" s="17"/>
      <c r="AS16" s="41"/>
      <c r="AT16" s="43"/>
      <c r="AU16" s="39"/>
      <c r="AV16" s="17"/>
      <c r="AW16" s="40"/>
      <c r="AX16" s="17"/>
      <c r="AY16" s="41"/>
      <c r="BA16" s="39"/>
      <c r="BB16" s="17"/>
      <c r="BC16" s="40"/>
      <c r="BD16" s="17"/>
      <c r="BE16" s="41"/>
      <c r="BG16" s="39"/>
      <c r="BH16" s="17"/>
      <c r="BI16" s="40"/>
      <c r="BJ16" s="17"/>
      <c r="BK16" s="41"/>
      <c r="BL16" s="43"/>
      <c r="BN16" s="39"/>
      <c r="BO16" s="17"/>
      <c r="BP16" s="40"/>
      <c r="BQ16" s="17"/>
      <c r="BR16" s="41"/>
      <c r="BS16" s="43"/>
    </row>
    <row r="17" spans="1:71" s="44" customFormat="1">
      <c r="D17" s="45" t="s">
        <v>259</v>
      </c>
      <c r="E17" s="46" t="e">
        <f ca="1">E18+E19+E25</f>
        <v>#NAME?</v>
      </c>
      <c r="F17" s="47"/>
      <c r="G17" s="48" t="e">
        <f ca="1">G18+G19+G25</f>
        <v>#NAME?</v>
      </c>
      <c r="H17" s="47"/>
      <c r="I17" s="49" t="e">
        <f t="shared" ref="I17:I80" ca="1" si="12">E17-G17</f>
        <v>#NAME?</v>
      </c>
      <c r="J17" s="50"/>
      <c r="K17" s="46" t="e">
        <f ca="1">K18+K19+K25</f>
        <v>#NAME?</v>
      </c>
      <c r="L17" s="47"/>
      <c r="M17" s="48" t="e">
        <f ca="1">M18+M19+M25</f>
        <v>#NAME?</v>
      </c>
      <c r="N17" s="51"/>
      <c r="O17" s="52" t="e">
        <f t="shared" ref="O17:O80" ca="1" si="13">K17-M17</f>
        <v>#NAME?</v>
      </c>
      <c r="P17" s="53"/>
      <c r="Q17" s="46" t="e">
        <f ca="1">Q18+Q19+Q25</f>
        <v>#NAME?</v>
      </c>
      <c r="R17" s="51"/>
      <c r="S17" s="48" t="e">
        <f ca="1">S18+S19+S25</f>
        <v>#NAME?</v>
      </c>
      <c r="T17" s="51"/>
      <c r="U17" s="49" t="e">
        <f t="shared" ref="U17:U80" ca="1" si="14">Q17-S17</f>
        <v>#NAME?</v>
      </c>
      <c r="V17" s="25"/>
      <c r="W17" s="46" t="e">
        <f ca="1">SUM(W18:W33)-W31</f>
        <v>#NAME?</v>
      </c>
      <c r="X17" s="51"/>
      <c r="Y17" s="48" t="e">
        <f ca="1">SUM(Y18:Y33)-Y31</f>
        <v>#NAME?</v>
      </c>
      <c r="Z17" s="51"/>
      <c r="AA17" s="49" t="e">
        <f t="shared" ref="AA17:AA46" ca="1" si="15">W17-Y17</f>
        <v>#NAME?</v>
      </c>
      <c r="AB17" s="53"/>
      <c r="AC17" s="46" t="e">
        <f ca="1">SUM(AC18:AC33)-AC31</f>
        <v>#NAME?</v>
      </c>
      <c r="AD17" s="51"/>
      <c r="AE17" s="48" t="e">
        <f ca="1">SUM(AE18:AE33)-AE31</f>
        <v>#NAME?</v>
      </c>
      <c r="AF17" s="51"/>
      <c r="AG17" s="49" t="e">
        <f t="shared" ref="AG17:AG46" ca="1" si="16">AC17-AE17</f>
        <v>#NAME?</v>
      </c>
      <c r="AH17" s="53"/>
      <c r="AI17" s="46" t="e">
        <f ca="1">SUM(AI18:AI33)-AI31</f>
        <v>#NAME?</v>
      </c>
      <c r="AJ17" s="51"/>
      <c r="AK17" s="48" t="e">
        <f ca="1">SUM(AK18:AK33)-AK31</f>
        <v>#NAME?</v>
      </c>
      <c r="AL17" s="51"/>
      <c r="AM17" s="49" t="e">
        <f t="shared" ref="AM17:AM46" ca="1" si="17">AI17-AK17</f>
        <v>#NAME?</v>
      </c>
      <c r="AN17" s="53"/>
      <c r="AO17" s="46" t="e">
        <f ca="1">SUM(AO18:AO33)-AO31</f>
        <v>#NAME?</v>
      </c>
      <c r="AP17" s="51"/>
      <c r="AQ17" s="48" t="e">
        <f ca="1">SUM(AQ18:AQ33)-AQ31</f>
        <v>#NAME?</v>
      </c>
      <c r="AR17" s="51"/>
      <c r="AS17" s="49" t="e">
        <f t="shared" ref="AS17:AS46" ca="1" si="18">AO17-AQ17</f>
        <v>#NAME?</v>
      </c>
      <c r="AT17" s="53"/>
      <c r="AU17" s="46" t="e">
        <f ca="1">W17+AC17+AI17+AO17</f>
        <v>#NAME?</v>
      </c>
      <c r="AV17" s="51"/>
      <c r="AW17" s="48" t="e">
        <f ca="1">Y17+AE17+AK17+AQ17</f>
        <v>#NAME?</v>
      </c>
      <c r="AX17" s="51"/>
      <c r="AY17" s="49" t="e">
        <f t="shared" ref="AY17:AY46" ca="1" si="19">AU17-AW17</f>
        <v>#NAME?</v>
      </c>
      <c r="BA17" s="46" t="e">
        <f t="shared" ref="BA17:BA46" ca="1" si="20">+Q17-AO17</f>
        <v>#NAME?</v>
      </c>
      <c r="BB17" s="51"/>
      <c r="BC17" s="48" t="e">
        <f t="shared" ref="BC17:BC46" ca="1" si="21">+S17-AQ17</f>
        <v>#NAME?</v>
      </c>
      <c r="BD17" s="51"/>
      <c r="BE17" s="49" t="e">
        <f ca="1">BA17-BC17</f>
        <v>#NAME?</v>
      </c>
      <c r="BG17" s="46" t="e">
        <f ca="1">SUM(BG18:BG33)-BG31</f>
        <v>#NAME?</v>
      </c>
      <c r="BH17" s="51"/>
      <c r="BI17" s="48" t="e">
        <f ca="1">SUM(BI18:BI33)-BI31</f>
        <v>#NAME?</v>
      </c>
      <c r="BJ17" s="51"/>
      <c r="BK17" s="49" t="e">
        <f t="shared" ref="BK17:BK46" ca="1" si="22">BG17-BI17</f>
        <v>#NAME?</v>
      </c>
      <c r="BL17" s="53"/>
      <c r="BN17" s="46" t="e">
        <f ca="1">SUM(BN18:BN33)-BN31</f>
        <v>#NAME?</v>
      </c>
      <c r="BO17" s="51"/>
      <c r="BP17" s="48" t="e">
        <f ca="1">SUM(BP18:BP33)-BP31</f>
        <v>#NAME?</v>
      </c>
      <c r="BQ17" s="51"/>
      <c r="BR17" s="49" t="e">
        <f t="shared" ref="BR17:BR46" ca="1" si="23">BN17-BP17</f>
        <v>#NAME?</v>
      </c>
      <c r="BS17" s="53"/>
    </row>
    <row r="18" spans="1:71" s="64" customFormat="1" outlineLevel="1">
      <c r="A18" s="54" t="s">
        <v>260</v>
      </c>
      <c r="B18" s="55" t="s">
        <v>261</v>
      </c>
      <c r="C18" s="55" t="s">
        <v>262</v>
      </c>
      <c r="D18" s="56" t="s">
        <v>263</v>
      </c>
      <c r="E18" s="57" t="e">
        <f ca="1">_xll.GetCtData("CO-AMOUNT","CONS-AMOUNT",$A$1:$A$4,$A18:$B18,E$5:E$10,"#")</f>
        <v>#NAME?</v>
      </c>
      <c r="F18" s="58"/>
      <c r="G18" s="59" t="e">
        <f ca="1">_xll.GetCtData("CO-AMOUNT","CONS-AMOUNT",$A$1:$A$4,$A18:$B18,G$5:G$10,"#")</f>
        <v>#NAME?</v>
      </c>
      <c r="H18" s="58"/>
      <c r="I18" s="60" t="e">
        <f t="shared" ca="1" si="12"/>
        <v>#NAME?</v>
      </c>
      <c r="J18" s="61"/>
      <c r="K18" s="57" t="e">
        <f ca="1">_xll.GetCtData("CO-AMOUNT","CONS-AMOUNT",$A$1:$A$4,$A18:$B18,K$5:K$10,"#")</f>
        <v>#NAME?</v>
      </c>
      <c r="L18" s="58"/>
      <c r="M18" s="59" t="e">
        <f ca="1">_xll.GetCtData("CO-AMOUNT","CONS-AMOUNT",$A$1:$A$4,$A18:$B18,M$5:M$10,"#")</f>
        <v>#NAME?</v>
      </c>
      <c r="N18" s="62"/>
      <c r="O18" s="60" t="e">
        <f t="shared" ca="1" si="13"/>
        <v>#NAME?</v>
      </c>
      <c r="P18" s="63"/>
      <c r="Q18" s="57" t="e">
        <f ca="1">_xll.GetCtData("CO-AMOUNT","CONS-AMOUNT",$A$1:$A$4,$A18:$B18,Q$5:Q$10,"#")</f>
        <v>#NAME?</v>
      </c>
      <c r="R18" s="62"/>
      <c r="S18" s="59" t="e">
        <f ca="1">_xll.GetCtData("CO-AMOUNT","CONS-AMOUNT",$A$1:$A$4,$A18:$B18,S$5:S$10,"#")</f>
        <v>#NAME?</v>
      </c>
      <c r="T18" s="62"/>
      <c r="U18" s="60" t="e">
        <f t="shared" ca="1" si="14"/>
        <v>#NAME?</v>
      </c>
      <c r="V18" s="25"/>
      <c r="W18" s="57" t="e">
        <f ca="1">_xll.GetCtData("CO-AMOUNT","CONS-AMOUNT",$A$1:$A$4,$A18:$B18,W$5:W$10,"#")</f>
        <v>#NAME?</v>
      </c>
      <c r="X18" s="62"/>
      <c r="Y18" s="59" t="e">
        <f ca="1">_xll.GetCtData("CO-AMOUNT","CONS-AMOUNT",$A$1:$A$4,$A18:$B18,Y$5:Y$10,"#")</f>
        <v>#NAME?</v>
      </c>
      <c r="Z18" s="62"/>
      <c r="AA18" s="60" t="e">
        <f t="shared" ca="1" si="15"/>
        <v>#NAME?</v>
      </c>
      <c r="AB18" s="63"/>
      <c r="AC18" s="57" t="e">
        <f ca="1">_xll.GetCtData("CO-AMOUNT","CONS-AMOUNT",$A$1:$A$4,$A18:$B18,AC$5:AC$10,"#")</f>
        <v>#NAME?</v>
      </c>
      <c r="AD18" s="62"/>
      <c r="AE18" s="59" t="e">
        <f ca="1">_xll.GetCtData("CO-AMOUNT","CONS-AMOUNT",$A$1:$A$4,$A18:$B18,AE$5:AE$10,"#")</f>
        <v>#NAME?</v>
      </c>
      <c r="AF18" s="62"/>
      <c r="AG18" s="60" t="e">
        <f t="shared" ca="1" si="16"/>
        <v>#NAME?</v>
      </c>
      <c r="AH18" s="63"/>
      <c r="AI18" s="57" t="e">
        <f ca="1">_xll.GetCtData("CO-AMOUNT","CONS-AMOUNT",$A$1:$A$4,$A18:$B18,AI$5:AI$10,"#")</f>
        <v>#NAME?</v>
      </c>
      <c r="AJ18" s="62"/>
      <c r="AK18" s="59" t="e">
        <f ca="1">_xll.GetCtData("CO-AMOUNT","CONS-AMOUNT",$A$1:$A$4,$A18:$B18,AK$5:AK$10,"#")</f>
        <v>#NAME?</v>
      </c>
      <c r="AL18" s="62"/>
      <c r="AM18" s="60" t="e">
        <f t="shared" ca="1" si="17"/>
        <v>#NAME?</v>
      </c>
      <c r="AN18" s="63"/>
      <c r="AO18" s="57" t="e">
        <f ca="1">_xll.GetCtData("CO-AMOUNT","CONS-AMOUNT",$A$1:$A$4,$A18:$B18,AO$5:AO$10,"#")</f>
        <v>#NAME?</v>
      </c>
      <c r="AP18" s="62"/>
      <c r="AQ18" s="59" t="e">
        <f ca="1">_xll.GetCtData("CO-AMOUNT","CONS-AMOUNT",$A$1:$A$4,$A18:$B18,AQ$5:AQ$10,"#")</f>
        <v>#NAME?</v>
      </c>
      <c r="AR18" s="62"/>
      <c r="AS18" s="60" t="e">
        <f t="shared" ca="1" si="18"/>
        <v>#NAME?</v>
      </c>
      <c r="AT18" s="63"/>
      <c r="AU18" s="57" t="e">
        <f t="shared" ref="AU18:AU81" ca="1" si="24">W18+AC18+AI18+AO18</f>
        <v>#NAME?</v>
      </c>
      <c r="AV18" s="62"/>
      <c r="AW18" s="59" t="e">
        <f t="shared" ref="AW18:AW81" ca="1" si="25">Y18+AE18+AK18+AQ18</f>
        <v>#NAME?</v>
      </c>
      <c r="AX18" s="62"/>
      <c r="AY18" s="60" t="e">
        <f t="shared" ca="1" si="19"/>
        <v>#NAME?</v>
      </c>
      <c r="BA18" s="57" t="e">
        <f t="shared" ca="1" si="20"/>
        <v>#NAME?</v>
      </c>
      <c r="BB18" s="62"/>
      <c r="BC18" s="59" t="e">
        <f t="shared" ca="1" si="21"/>
        <v>#NAME?</v>
      </c>
      <c r="BD18" s="62"/>
      <c r="BE18" s="60" t="e">
        <f t="shared" ref="BE18:BE81" ca="1" si="26">BA18-BC18</f>
        <v>#NAME?</v>
      </c>
      <c r="BG18" s="57" t="e">
        <f ca="1">_xll.GetCtData("CO-AMOUNT","CONS-AMOUNT",$A$1:$A$4,$A18:$B18,BG$5:BG$10,"#")</f>
        <v>#NAME?</v>
      </c>
      <c r="BH18" s="62"/>
      <c r="BI18" s="59" t="e">
        <f ca="1">_xll.GetCtData("CO-AMOUNT","CONS-AMOUNT",$A$1:$A$4,$A18:$B18,BI$5:BI$10,"#")</f>
        <v>#NAME?</v>
      </c>
      <c r="BJ18" s="62"/>
      <c r="BK18" s="60" t="e">
        <f t="shared" ca="1" si="22"/>
        <v>#NAME?</v>
      </c>
      <c r="BL18" s="63"/>
      <c r="BN18" s="57" t="e">
        <f ca="1">_xll.GetCtData("CO-AMOUNT","CONS-AMOUNT",$A$1:$A$4,$A18:$B18,BN$5:BN$10,"#")</f>
        <v>#NAME?</v>
      </c>
      <c r="BO18" s="62"/>
      <c r="BP18" s="59" t="e">
        <f ca="1">_xll.GetCtData("CO-AMOUNT","CONS-AMOUNT",$A$1:$A$4,$A18:$B18,BP$5:BP$10,"#")</f>
        <v>#NAME?</v>
      </c>
      <c r="BQ18" s="62"/>
      <c r="BR18" s="60" t="e">
        <f t="shared" ca="1" si="23"/>
        <v>#NAME?</v>
      </c>
      <c r="BS18" s="63"/>
    </row>
    <row r="19" spans="1:71" s="65" customFormat="1">
      <c r="D19" s="66" t="str">
        <f>CHOOSE([6]Traduction!$A$2,[6]Traduction!$A45,[6]Traduction!$B45)</f>
        <v>o/w France</v>
      </c>
      <c r="E19" s="67" t="e">
        <f ca="1">E22+E21+E20</f>
        <v>#NAME?</v>
      </c>
      <c r="F19" s="68"/>
      <c r="G19" s="69" t="e">
        <f ca="1">G22+G21+G20</f>
        <v>#NAME?</v>
      </c>
      <c r="H19" s="68"/>
      <c r="I19" s="70" t="e">
        <f t="shared" ca="1" si="12"/>
        <v>#NAME?</v>
      </c>
      <c r="J19" s="71"/>
      <c r="K19" s="67" t="e">
        <f ca="1">K22+K21+K20</f>
        <v>#NAME?</v>
      </c>
      <c r="L19" s="68"/>
      <c r="M19" s="69" t="e">
        <f ca="1">M22+M21+M20</f>
        <v>#NAME?</v>
      </c>
      <c r="N19" s="51"/>
      <c r="O19" s="70" t="e">
        <f t="shared" ca="1" si="13"/>
        <v>#NAME?</v>
      </c>
      <c r="P19" s="53"/>
      <c r="Q19" s="67" t="e">
        <f ca="1">Q22+Q21+Q20</f>
        <v>#NAME?</v>
      </c>
      <c r="R19" s="51"/>
      <c r="S19" s="69" t="e">
        <f ca="1">S22+S21+S20</f>
        <v>#NAME?</v>
      </c>
      <c r="T19" s="51"/>
      <c r="U19" s="70" t="e">
        <f t="shared" ca="1" si="14"/>
        <v>#NAME?</v>
      </c>
      <c r="V19" s="25"/>
      <c r="W19" s="67" t="e">
        <f ca="1">_xll.GetCtData("CO-AMOUNT","CONS-AMOUNT",$A$1:$A$4,$A19:$B19,W$5:W$10,"#-119,137061911572")</f>
        <v>#NAME?</v>
      </c>
      <c r="X19" s="51"/>
      <c r="Y19" s="69" t="e">
        <f ca="1">_xll.GetCtData("CO-AMOUNT","CONS-AMOUNT",$A$1:$A$4,$A19:$B19,Y$5:Y$10,"#139,303394874322")</f>
        <v>#NAME?</v>
      </c>
      <c r="Z19" s="51"/>
      <c r="AA19" s="70" t="e">
        <f t="shared" ca="1" si="15"/>
        <v>#NAME?</v>
      </c>
      <c r="AB19" s="53"/>
      <c r="AC19" s="67" t="e">
        <f ca="1">_xll.GetCtData("CO-AMOUNT","CONS-AMOUNT",$A$1:$A$4,$A19:$B19,AC$5:AC$10,"#22,98")</f>
        <v>#NAME?</v>
      </c>
      <c r="AD19" s="51"/>
      <c r="AE19" s="69" t="e">
        <f ca="1">_xll.GetCtData("CO-AMOUNT","CONS-AMOUNT",$A$1:$A$4,$A19:$B19,AE$5:AE$10,"#7,27000000000001")</f>
        <v>#NAME?</v>
      </c>
      <c r="AF19" s="51"/>
      <c r="AG19" s="70" t="e">
        <f t="shared" ca="1" si="16"/>
        <v>#NAME?</v>
      </c>
      <c r="AH19" s="53"/>
      <c r="AI19" s="67" t="e">
        <f ca="1">_xll.GetCtData("CO-AMOUNT","CONS-AMOUNT",$A$1:$A$4,$A19:$B19,AI$5:AI$10,"#-65,1913655499592")</f>
        <v>#NAME?</v>
      </c>
      <c r="AJ19" s="51"/>
      <c r="AK19" s="69" t="e">
        <f ca="1">_xll.GetCtData("CO-AMOUNT","CONS-AMOUNT",$A$1:$A$4,$A19:$B19,AK$5:AK$10,"#418,511442896423")</f>
        <v>#NAME?</v>
      </c>
      <c r="AL19" s="51"/>
      <c r="AM19" s="70" t="e">
        <f t="shared" ca="1" si="17"/>
        <v>#NAME?</v>
      </c>
      <c r="AN19" s="53"/>
      <c r="AO19" s="67" t="e">
        <f ca="1">_xll.GetCtData("CO-AMOUNT","CONS-AMOUNT",$A$1:$A$4,$A19:$B19,AO$5:AO$10,"#-12821,1653475363")</f>
        <v>#NAME?</v>
      </c>
      <c r="AP19" s="51"/>
      <c r="AQ19" s="69" t="e">
        <f ca="1">_xll.GetCtData("CO-AMOUNT","CONS-AMOUNT",$A$1:$A$4,$A19:$B19,AQ$5:AQ$10,"#-9611,83172873421")</f>
        <v>#NAME?</v>
      </c>
      <c r="AR19" s="51"/>
      <c r="AS19" s="70" t="e">
        <f t="shared" ca="1" si="18"/>
        <v>#NAME?</v>
      </c>
      <c r="AT19" s="53"/>
      <c r="AU19" s="67" t="e">
        <f t="shared" ca="1" si="24"/>
        <v>#NAME?</v>
      </c>
      <c r="AV19" s="51"/>
      <c r="AW19" s="69" t="e">
        <f t="shared" ca="1" si="25"/>
        <v>#NAME?</v>
      </c>
      <c r="AX19" s="51"/>
      <c r="AY19" s="70" t="e">
        <f t="shared" ca="1" si="19"/>
        <v>#NAME?</v>
      </c>
      <c r="BA19" s="67" t="e">
        <f t="shared" ca="1" si="20"/>
        <v>#NAME?</v>
      </c>
      <c r="BB19" s="51"/>
      <c r="BC19" s="69" t="e">
        <f t="shared" ca="1" si="21"/>
        <v>#NAME?</v>
      </c>
      <c r="BD19" s="51"/>
      <c r="BE19" s="70" t="e">
        <f t="shared" ca="1" si="26"/>
        <v>#NAME?</v>
      </c>
      <c r="BG19" s="67" t="e">
        <f ca="1">_xll.GetCtData("CO-AMOUNT","CONS-AMOUNT",$A$1:$A$4,$A19:$B19,BG$5:BG$10,"#-6631,80636538518")</f>
        <v>#NAME?</v>
      </c>
      <c r="BH19" s="51"/>
      <c r="BI19" s="69" t="e">
        <f ca="1">_xll.GetCtData("CO-AMOUNT","CONS-AMOUNT",$A$1:$A$4,$A19:$B19,BI$5:BI$10,"#-4370,58368251045")</f>
        <v>#NAME?</v>
      </c>
      <c r="BJ19" s="51"/>
      <c r="BK19" s="70" t="e">
        <f t="shared" ca="1" si="22"/>
        <v>#NAME?</v>
      </c>
      <c r="BL19" s="53"/>
      <c r="BN19" s="67" t="e">
        <f ca="1">_xll.GetCtData("CO-AMOUNT","CONS-AMOUNT",$A$1:$A$4,$A19:$B19,BN$5:BN$10,"#-6189,3589821511")</f>
        <v>#NAME?</v>
      </c>
      <c r="BO19" s="51"/>
      <c r="BP19" s="69" t="e">
        <f ca="1">_xll.GetCtData("CO-AMOUNT","CONS-AMOUNT",$A$1:$A$4,$A19:$B19,BP$5:BP$10,"#-5241,24804622376")</f>
        <v>#NAME?</v>
      </c>
      <c r="BQ19" s="51"/>
      <c r="BR19" s="70" t="e">
        <f t="shared" ca="1" si="23"/>
        <v>#NAME?</v>
      </c>
      <c r="BS19" s="53"/>
    </row>
    <row r="20" spans="1:71" s="65" customFormat="1" outlineLevel="1">
      <c r="A20" s="65" t="s">
        <v>260</v>
      </c>
      <c r="B20" s="65" t="s">
        <v>264</v>
      </c>
      <c r="C20" s="65" t="s">
        <v>262</v>
      </c>
      <c r="D20" s="72" t="s">
        <v>265</v>
      </c>
      <c r="E20" s="67" t="e">
        <f ca="1">_xll.GetCtData("CO-AMOUNT","CONS-AMOUNT",$A$1:$A$4,$A20:$B20,E$5:E$10,"#-14399,59")</f>
        <v>#NAME?</v>
      </c>
      <c r="F20" s="68"/>
      <c r="G20" s="69" t="e">
        <f ca="1">_xll.GetCtData("CO-AMOUNT","CONS-AMOUNT",$A$1:$A$4,$A20:$B20,G$5:G$10,"#-14951,9")</f>
        <v>#NAME?</v>
      </c>
      <c r="H20" s="68"/>
      <c r="I20" s="70" t="e">
        <f t="shared" ca="1" si="12"/>
        <v>#NAME?</v>
      </c>
      <c r="J20" s="71"/>
      <c r="K20" s="67" t="e">
        <f ca="1">_xll.GetCtData("CO-AMOUNT","CONS-AMOUNT",$A$1:$A$4,$A20:$B20,K$5:K$10,"#-13734,963")</f>
        <v>#NAME?</v>
      </c>
      <c r="L20" s="68"/>
      <c r="M20" s="69" t="e">
        <f ca="1">_xll.GetCtData("CO-AMOUNT","CONS-AMOUNT",$A$1:$A$4,$A20:$B20,M$5:M$10,"#-14506,73")</f>
        <v>#NAME?</v>
      </c>
      <c r="N20" s="51"/>
      <c r="O20" s="70" t="e">
        <f t="shared" ca="1" si="13"/>
        <v>#NAME?</v>
      </c>
      <c r="P20" s="53"/>
      <c r="Q20" s="67" t="e">
        <f ca="1">_xll.GetCtData("CO-AMOUNT","CONS-AMOUNT",$A$1:$A$4,$A20:$B20,Q$5:Q$10,"#-28134,553")</f>
        <v>#NAME?</v>
      </c>
      <c r="R20" s="51"/>
      <c r="S20" s="69" t="e">
        <f ca="1">_xll.GetCtData("CO-AMOUNT","CONS-AMOUNT",$A$1:$A$4,$A20:$B20,S$5:S$10,"#-29458,63")</f>
        <v>#NAME?</v>
      </c>
      <c r="T20" s="51"/>
      <c r="U20" s="70" t="e">
        <f t="shared" ca="1" si="14"/>
        <v>#NAME?</v>
      </c>
      <c r="V20" s="25"/>
      <c r="W20" s="67"/>
      <c r="X20" s="51"/>
      <c r="Y20" s="69"/>
      <c r="Z20" s="51"/>
      <c r="AA20" s="70"/>
      <c r="AB20" s="53"/>
      <c r="AC20" s="67"/>
      <c r="AD20" s="51"/>
      <c r="AE20" s="69"/>
      <c r="AF20" s="51"/>
      <c r="AG20" s="70"/>
      <c r="AH20" s="53"/>
      <c r="AI20" s="67"/>
      <c r="AJ20" s="51"/>
      <c r="AK20" s="69"/>
      <c r="AL20" s="51"/>
      <c r="AM20" s="70"/>
      <c r="AN20" s="53"/>
      <c r="AO20" s="67"/>
      <c r="AP20" s="51"/>
      <c r="AQ20" s="69"/>
      <c r="AR20" s="51"/>
      <c r="AS20" s="70"/>
      <c r="AT20" s="53"/>
      <c r="AU20" s="67"/>
      <c r="AV20" s="51"/>
      <c r="AW20" s="69"/>
      <c r="AX20" s="51"/>
      <c r="AY20" s="70"/>
      <c r="BA20" s="67"/>
      <c r="BB20" s="51"/>
      <c r="BC20" s="69"/>
      <c r="BD20" s="51"/>
      <c r="BE20" s="70"/>
      <c r="BG20" s="67"/>
      <c r="BH20" s="51"/>
      <c r="BI20" s="69"/>
      <c r="BJ20" s="51"/>
      <c r="BK20" s="70"/>
      <c r="BL20" s="53"/>
      <c r="BN20" s="67"/>
      <c r="BO20" s="51"/>
      <c r="BP20" s="69"/>
      <c r="BQ20" s="51"/>
      <c r="BR20" s="70"/>
      <c r="BS20" s="53"/>
    </row>
    <row r="21" spans="1:71" s="65" customFormat="1" outlineLevel="1">
      <c r="A21" s="65" t="s">
        <v>266</v>
      </c>
      <c r="B21" s="65" t="s">
        <v>267</v>
      </c>
      <c r="C21" s="65" t="s">
        <v>262</v>
      </c>
      <c r="D21" s="72" t="s">
        <v>268</v>
      </c>
      <c r="E21" s="67" t="e">
        <f ca="1">_xll.GetCtData("CO-AMOUNT","CONS-AMOUNT",$A$1:$A$4,$A21:$B21,E$5:E$10,"#")</f>
        <v>#NAME?</v>
      </c>
      <c r="F21" s="68"/>
      <c r="G21" s="69" t="e">
        <f ca="1">_xll.GetCtData("CO-AMOUNT","CONS-AMOUNT",$A$1:$A$4,$A21:$B21,G$5:G$10,"#")</f>
        <v>#NAME?</v>
      </c>
      <c r="H21" s="68"/>
      <c r="I21" s="70" t="e">
        <f t="shared" ca="1" si="12"/>
        <v>#NAME?</v>
      </c>
      <c r="J21" s="71"/>
      <c r="K21" s="67" t="e">
        <f ca="1">_xll.GetCtData("CO-AMOUNT","CONS-AMOUNT",$A$1:$A$4,$A21:$B21,K$5:K$10,"#")</f>
        <v>#NAME?</v>
      </c>
      <c r="L21" s="68"/>
      <c r="M21" s="69" t="e">
        <f ca="1">_xll.GetCtData("CO-AMOUNT","CONS-AMOUNT",$A$1:$A$4,$A21:$B21,M$5:M$10,"#")</f>
        <v>#NAME?</v>
      </c>
      <c r="N21" s="51"/>
      <c r="O21" s="70" t="e">
        <f t="shared" ca="1" si="13"/>
        <v>#NAME?</v>
      </c>
      <c r="P21" s="53"/>
      <c r="Q21" s="67" t="e">
        <f ca="1">_xll.GetCtData("CO-AMOUNT","CONS-AMOUNT",$A$1:$A$4,$A21:$B21,Q$5:Q$10,"#")</f>
        <v>#NAME?</v>
      </c>
      <c r="R21" s="51"/>
      <c r="S21" s="69" t="e">
        <f ca="1">_xll.GetCtData("CO-AMOUNT","CONS-AMOUNT",$A$1:$A$4,$A21:$B21,S$5:S$10,"#")</f>
        <v>#NAME?</v>
      </c>
      <c r="T21" s="51"/>
      <c r="U21" s="70" t="e">
        <f t="shared" ca="1" si="14"/>
        <v>#NAME?</v>
      </c>
      <c r="V21" s="25"/>
      <c r="W21" s="67"/>
      <c r="X21" s="51"/>
      <c r="Y21" s="69"/>
      <c r="Z21" s="51"/>
      <c r="AA21" s="70"/>
      <c r="AB21" s="53"/>
      <c r="AC21" s="67"/>
      <c r="AD21" s="51"/>
      <c r="AE21" s="69"/>
      <c r="AF21" s="51"/>
      <c r="AG21" s="70"/>
      <c r="AH21" s="53"/>
      <c r="AI21" s="67"/>
      <c r="AJ21" s="51"/>
      <c r="AK21" s="69"/>
      <c r="AL21" s="51"/>
      <c r="AM21" s="70"/>
      <c r="AN21" s="53"/>
      <c r="AO21" s="67"/>
      <c r="AP21" s="51"/>
      <c r="AQ21" s="69"/>
      <c r="AR21" s="51"/>
      <c r="AS21" s="70"/>
      <c r="AT21" s="53"/>
      <c r="AU21" s="67"/>
      <c r="AV21" s="51"/>
      <c r="AW21" s="69"/>
      <c r="AX21" s="51"/>
      <c r="AY21" s="70"/>
      <c r="BA21" s="67"/>
      <c r="BB21" s="51"/>
      <c r="BC21" s="69"/>
      <c r="BD21" s="51"/>
      <c r="BE21" s="70"/>
      <c r="BG21" s="67"/>
      <c r="BH21" s="51"/>
      <c r="BI21" s="69"/>
      <c r="BJ21" s="51"/>
      <c r="BK21" s="70"/>
      <c r="BL21" s="53"/>
      <c r="BN21" s="67"/>
      <c r="BO21" s="51"/>
      <c r="BP21" s="69"/>
      <c r="BQ21" s="51"/>
      <c r="BR21" s="70"/>
      <c r="BS21" s="53"/>
    </row>
    <row r="22" spans="1:71" s="65" customFormat="1" outlineLevel="1">
      <c r="A22" s="65" t="s">
        <v>269</v>
      </c>
      <c r="B22" s="65" t="s">
        <v>267</v>
      </c>
      <c r="C22" s="65" t="s">
        <v>262</v>
      </c>
      <c r="D22" s="72" t="s">
        <v>270</v>
      </c>
      <c r="E22" s="67" t="e">
        <f ca="1">_xll.GetCtData("CO-AMOUNT","CONS-AMOUNT",$A$1:$A$4,$A22:$B22,E$5:E$10,"#1714,35")</f>
        <v>#NAME?</v>
      </c>
      <c r="F22" s="68"/>
      <c r="G22" s="69" t="e">
        <f ca="1">_xll.GetCtData("CO-AMOUNT","CONS-AMOUNT",$A$1:$A$4,$A22:$B22,G$5:G$10,"#1485,056")</f>
        <v>#NAME?</v>
      </c>
      <c r="H22" s="68"/>
      <c r="I22" s="70" t="e">
        <f t="shared" ca="1" si="12"/>
        <v>#NAME?</v>
      </c>
      <c r="J22" s="71"/>
      <c r="K22" s="67" t="e">
        <f ca="1">_xll.GetCtData("CO-AMOUNT","CONS-AMOUNT",$A$1:$A$4,$A22:$B22,K$5:K$10,"#-1893,148")</f>
        <v>#NAME?</v>
      </c>
      <c r="L22" s="68"/>
      <c r="M22" s="69" t="e">
        <f ca="1">_xll.GetCtData("CO-AMOUNT","CONS-AMOUNT",$A$1:$A$4,$A22:$B22,M$5:M$10,"#-2067,487")</f>
        <v>#NAME?</v>
      </c>
      <c r="N22" s="51"/>
      <c r="O22" s="70" t="e">
        <f t="shared" ca="1" si="13"/>
        <v>#NAME?</v>
      </c>
      <c r="P22" s="53"/>
      <c r="Q22" s="67" t="e">
        <f ca="1">_xll.GetCtData("CO-AMOUNT","CONS-AMOUNT",$A$1:$A$4,$A22:$B22,Q$5:Q$10,"#-226,346000000001")</f>
        <v>#NAME?</v>
      </c>
      <c r="R22" s="51"/>
      <c r="S22" s="69" t="e">
        <f ca="1">_xll.GetCtData("CO-AMOUNT","CONS-AMOUNT",$A$1:$A$4,$A22:$B22,S$5:S$10,"#-596,373999999999")</f>
        <v>#NAME?</v>
      </c>
      <c r="T22" s="51"/>
      <c r="U22" s="70" t="e">
        <f t="shared" ca="1" si="14"/>
        <v>#NAME?</v>
      </c>
      <c r="V22" s="25"/>
      <c r="W22" s="67"/>
      <c r="X22" s="51"/>
      <c r="Y22" s="69"/>
      <c r="Z22" s="51"/>
      <c r="AA22" s="70"/>
      <c r="AB22" s="53"/>
      <c r="AC22" s="67"/>
      <c r="AD22" s="51"/>
      <c r="AE22" s="69"/>
      <c r="AF22" s="51"/>
      <c r="AG22" s="70"/>
      <c r="AH22" s="53"/>
      <c r="AI22" s="67"/>
      <c r="AJ22" s="51"/>
      <c r="AK22" s="69"/>
      <c r="AL22" s="51"/>
      <c r="AM22" s="70"/>
      <c r="AN22" s="53"/>
      <c r="AO22" s="67"/>
      <c r="AP22" s="51"/>
      <c r="AQ22" s="69"/>
      <c r="AR22" s="51"/>
      <c r="AS22" s="70"/>
      <c r="AT22" s="53"/>
      <c r="AU22" s="67"/>
      <c r="AV22" s="51"/>
      <c r="AW22" s="69"/>
      <c r="AX22" s="51"/>
      <c r="AY22" s="70"/>
      <c r="BA22" s="67"/>
      <c r="BB22" s="51"/>
      <c r="BC22" s="69"/>
      <c r="BD22" s="51"/>
      <c r="BE22" s="70"/>
      <c r="BG22" s="67"/>
      <c r="BH22" s="51"/>
      <c r="BI22" s="69"/>
      <c r="BJ22" s="51"/>
      <c r="BK22" s="70"/>
      <c r="BL22" s="53"/>
      <c r="BN22" s="67"/>
      <c r="BO22" s="51"/>
      <c r="BP22" s="69"/>
      <c r="BQ22" s="51"/>
      <c r="BR22" s="70"/>
      <c r="BS22" s="53"/>
    </row>
    <row r="23" spans="1:71" s="65" customFormat="1" outlineLevel="1">
      <c r="A23" s="65" t="s">
        <v>271</v>
      </c>
      <c r="B23" s="65" t="s">
        <v>267</v>
      </c>
      <c r="C23" s="65" t="s">
        <v>262</v>
      </c>
      <c r="D23" s="73" t="s">
        <v>272</v>
      </c>
      <c r="E23" s="67" t="e">
        <f ca="1">_xll.GetCtData("CO-AMOUNT","CONS-AMOUNT",$A$1:$A$4,$A23:$B23,E$5:E$10,"#2620,14")</f>
        <v>#NAME?</v>
      </c>
      <c r="F23" s="68"/>
      <c r="G23" s="69" t="e">
        <f ca="1">_xll.GetCtData("CO-AMOUNT","CONS-AMOUNT",$A$1:$A$4,$A23:$B23,G$5:G$10,"#2458,496")</f>
        <v>#NAME?</v>
      </c>
      <c r="H23" s="68"/>
      <c r="I23" s="70" t="e">
        <f t="shared" ca="1" si="12"/>
        <v>#NAME?</v>
      </c>
      <c r="J23" s="71"/>
      <c r="K23" s="67" t="e">
        <f ca="1">_xll.GetCtData("CO-AMOUNT","CONS-AMOUNT",$A$1:$A$4,$A23:$B23,K$5:K$10,"#-1440,992")</f>
        <v>#NAME?</v>
      </c>
      <c r="L23" s="68"/>
      <c r="M23" s="69" t="e">
        <f ca="1">_xll.GetCtData("CO-AMOUNT","CONS-AMOUNT",$A$1:$A$4,$A23:$B23,M$5:M$10,"#-1562,699")</f>
        <v>#NAME?</v>
      </c>
      <c r="N23" s="51"/>
      <c r="O23" s="70" t="e">
        <f t="shared" ca="1" si="13"/>
        <v>#NAME?</v>
      </c>
      <c r="P23" s="53"/>
      <c r="Q23" s="67" t="e">
        <f ca="1">_xll.GetCtData("CO-AMOUNT","CONS-AMOUNT",$A$1:$A$4,$A23:$B23,Q$5:Q$10,"#1121,182")</f>
        <v>#NAME?</v>
      </c>
      <c r="R23" s="51"/>
      <c r="S23" s="69" t="e">
        <f ca="1">_xll.GetCtData("CO-AMOUNT","CONS-AMOUNT",$A$1:$A$4,$A23:$B23,S$5:S$10,"#870,797000000001")</f>
        <v>#NAME?</v>
      </c>
      <c r="T23" s="51"/>
      <c r="U23" s="70" t="e">
        <f t="shared" ca="1" si="14"/>
        <v>#NAME?</v>
      </c>
      <c r="V23" s="25"/>
      <c r="W23" s="67"/>
      <c r="X23" s="51"/>
      <c r="Y23" s="69"/>
      <c r="Z23" s="51"/>
      <c r="AA23" s="70"/>
      <c r="AB23" s="53"/>
      <c r="AC23" s="67"/>
      <c r="AD23" s="51"/>
      <c r="AE23" s="69"/>
      <c r="AF23" s="51"/>
      <c r="AG23" s="70"/>
      <c r="AH23" s="53"/>
      <c r="AI23" s="67"/>
      <c r="AJ23" s="51"/>
      <c r="AK23" s="69"/>
      <c r="AL23" s="51"/>
      <c r="AM23" s="70"/>
      <c r="AN23" s="53"/>
      <c r="AO23" s="67"/>
      <c r="AP23" s="51"/>
      <c r="AQ23" s="69"/>
      <c r="AR23" s="51"/>
      <c r="AS23" s="70"/>
      <c r="AT23" s="53"/>
      <c r="AU23" s="67"/>
      <c r="AV23" s="51"/>
      <c r="AW23" s="69"/>
      <c r="AX23" s="51"/>
      <c r="AY23" s="70"/>
      <c r="BA23" s="67"/>
      <c r="BB23" s="51"/>
      <c r="BC23" s="69"/>
      <c r="BD23" s="51"/>
      <c r="BE23" s="70"/>
      <c r="BG23" s="67"/>
      <c r="BH23" s="51"/>
      <c r="BI23" s="69"/>
      <c r="BJ23" s="51"/>
      <c r="BK23" s="70"/>
      <c r="BL23" s="53"/>
      <c r="BN23" s="67"/>
      <c r="BO23" s="51"/>
      <c r="BP23" s="69"/>
      <c r="BQ23" s="51"/>
      <c r="BR23" s="70"/>
      <c r="BS23" s="53"/>
    </row>
    <row r="24" spans="1:71" s="65" customFormat="1" outlineLevel="1">
      <c r="A24" s="65" t="s">
        <v>273</v>
      </c>
      <c r="B24" s="65" t="s">
        <v>267</v>
      </c>
      <c r="C24" s="65" t="s">
        <v>262</v>
      </c>
      <c r="D24" s="73" t="s">
        <v>274</v>
      </c>
      <c r="E24" s="67" t="e">
        <f ca="1">_xll.GetCtData("CO-AMOUNT","CONS-AMOUNT",$A$1:$A$4,$A24:$B24,E$5:E$10,"#-905,79")</f>
        <v>#NAME?</v>
      </c>
      <c r="F24" s="68"/>
      <c r="G24" s="69" t="e">
        <f ca="1">_xll.GetCtData("CO-AMOUNT","CONS-AMOUNT",$A$1:$A$4,$A24:$B24,G$5:G$10,"#-973,44")</f>
        <v>#NAME?</v>
      </c>
      <c r="H24" s="68"/>
      <c r="I24" s="70" t="e">
        <f t="shared" ca="1" si="12"/>
        <v>#NAME?</v>
      </c>
      <c r="J24" s="71"/>
      <c r="K24" s="67" t="e">
        <f ca="1">_xll.GetCtData("CO-AMOUNT","CONS-AMOUNT",$A$1:$A$4,$A24:$B24,K$5:K$10,"#-452,156")</f>
        <v>#NAME?</v>
      </c>
      <c r="L24" s="68"/>
      <c r="M24" s="69" t="e">
        <f ca="1">_xll.GetCtData("CO-AMOUNT","CONS-AMOUNT",$A$1:$A$4,$A24:$B24,M$5:M$10,"#-504,788")</f>
        <v>#NAME?</v>
      </c>
      <c r="N24" s="51"/>
      <c r="O24" s="70" t="e">
        <f t="shared" ca="1" si="13"/>
        <v>#NAME?</v>
      </c>
      <c r="P24" s="53"/>
      <c r="Q24" s="67" t="e">
        <f ca="1">_xll.GetCtData("CO-AMOUNT","CONS-AMOUNT",$A$1:$A$4,$A24:$B24,Q$5:Q$10,"#-1347,528")</f>
        <v>#NAME?</v>
      </c>
      <c r="R24" s="51"/>
      <c r="S24" s="69" t="e">
        <f ca="1">_xll.GetCtData("CO-AMOUNT","CONS-AMOUNT",$A$1:$A$4,$A24:$B24,S$5:S$10,"#-1467,171")</f>
        <v>#NAME?</v>
      </c>
      <c r="T24" s="51"/>
      <c r="U24" s="70" t="e">
        <f t="shared" ca="1" si="14"/>
        <v>#NAME?</v>
      </c>
      <c r="V24" s="25"/>
      <c r="W24" s="67"/>
      <c r="X24" s="51"/>
      <c r="Y24" s="69"/>
      <c r="Z24" s="51"/>
      <c r="AA24" s="70"/>
      <c r="AB24" s="53"/>
      <c r="AC24" s="67"/>
      <c r="AD24" s="51"/>
      <c r="AE24" s="69"/>
      <c r="AF24" s="51"/>
      <c r="AG24" s="70"/>
      <c r="AH24" s="53"/>
      <c r="AI24" s="67"/>
      <c r="AJ24" s="51"/>
      <c r="AK24" s="69"/>
      <c r="AL24" s="51"/>
      <c r="AM24" s="70"/>
      <c r="AN24" s="53"/>
      <c r="AO24" s="67"/>
      <c r="AP24" s="51"/>
      <c r="AQ24" s="69"/>
      <c r="AR24" s="51"/>
      <c r="AS24" s="70"/>
      <c r="AT24" s="53"/>
      <c r="AU24" s="67"/>
      <c r="AV24" s="51"/>
      <c r="AW24" s="69"/>
      <c r="AX24" s="51"/>
      <c r="AY24" s="70"/>
      <c r="BA24" s="67"/>
      <c r="BB24" s="51"/>
      <c r="BC24" s="69"/>
      <c r="BD24" s="51"/>
      <c r="BE24" s="70"/>
      <c r="BG24" s="67"/>
      <c r="BH24" s="51"/>
      <c r="BI24" s="69"/>
      <c r="BJ24" s="51"/>
      <c r="BK24" s="70"/>
      <c r="BL24" s="53"/>
      <c r="BN24" s="67"/>
      <c r="BO24" s="51"/>
      <c r="BP24" s="69"/>
      <c r="BQ24" s="51"/>
      <c r="BR24" s="70"/>
      <c r="BS24" s="53"/>
    </row>
    <row r="25" spans="1:71" s="65" customFormat="1">
      <c r="D25" s="66" t="s">
        <v>275</v>
      </c>
      <c r="E25" s="67" t="e">
        <f ca="1">E26+E27+E28+E29+E30+E32+E33</f>
        <v>#NAME?</v>
      </c>
      <c r="F25" s="68"/>
      <c r="G25" s="69" t="e">
        <f ca="1">G26+G27+G28+G29+G30+G32+G33</f>
        <v>#NAME?</v>
      </c>
      <c r="H25" s="68"/>
      <c r="I25" s="70" t="e">
        <f t="shared" ca="1" si="12"/>
        <v>#NAME?</v>
      </c>
      <c r="J25" s="71"/>
      <c r="K25" s="67" t="e">
        <f ca="1">K26+K27+K28+K29+K30+K32+K33</f>
        <v>#NAME?</v>
      </c>
      <c r="L25" s="68"/>
      <c r="M25" s="69" t="e">
        <f ca="1">M26+M27+M28+M29+M30+M32+M33</f>
        <v>#NAME?</v>
      </c>
      <c r="N25" s="51"/>
      <c r="O25" s="70" t="e">
        <f t="shared" ca="1" si="13"/>
        <v>#NAME?</v>
      </c>
      <c r="P25" s="53"/>
      <c r="Q25" s="67" t="e">
        <f ca="1">Q26+Q27+Q28+Q29+Q30+Q32+Q33</f>
        <v>#NAME?</v>
      </c>
      <c r="R25" s="51"/>
      <c r="S25" s="69" t="e">
        <f ca="1">S26+S27+S28+S29+S30+S32+S33</f>
        <v>#NAME?</v>
      </c>
      <c r="T25" s="51"/>
      <c r="U25" s="70" t="e">
        <f t="shared" ca="1" si="14"/>
        <v>#NAME?</v>
      </c>
      <c r="V25" s="25"/>
      <c r="W25" s="67"/>
      <c r="X25" s="51"/>
      <c r="Y25" s="69"/>
      <c r="Z25" s="51"/>
      <c r="AA25" s="70"/>
      <c r="AB25" s="53"/>
      <c r="AC25" s="67"/>
      <c r="AD25" s="51"/>
      <c r="AE25" s="69"/>
      <c r="AF25" s="51"/>
      <c r="AG25" s="70"/>
      <c r="AH25" s="53"/>
      <c r="AI25" s="67"/>
      <c r="AJ25" s="51"/>
      <c r="AK25" s="69"/>
      <c r="AL25" s="51"/>
      <c r="AM25" s="70"/>
      <c r="AN25" s="53"/>
      <c r="AO25" s="67"/>
      <c r="AP25" s="51"/>
      <c r="AQ25" s="69"/>
      <c r="AR25" s="51"/>
      <c r="AS25" s="70"/>
      <c r="AT25" s="53"/>
      <c r="AU25" s="67"/>
      <c r="AV25" s="51"/>
      <c r="AW25" s="69"/>
      <c r="AX25" s="51"/>
      <c r="AY25" s="70"/>
      <c r="BA25" s="67"/>
      <c r="BB25" s="51"/>
      <c r="BC25" s="69"/>
      <c r="BD25" s="51"/>
      <c r="BE25" s="70"/>
      <c r="BG25" s="67"/>
      <c r="BH25" s="51"/>
      <c r="BI25" s="69"/>
      <c r="BJ25" s="51"/>
      <c r="BK25" s="70"/>
      <c r="BL25" s="53"/>
      <c r="BN25" s="67"/>
      <c r="BO25" s="51"/>
      <c r="BP25" s="69"/>
      <c r="BQ25" s="51"/>
      <c r="BR25" s="70"/>
      <c r="BS25" s="53"/>
    </row>
    <row r="26" spans="1:71" s="65" customFormat="1" ht="15.75" hidden="1" customHeight="1" outlineLevel="1">
      <c r="A26" s="65" t="s">
        <v>276</v>
      </c>
      <c r="B26" s="65" t="s">
        <v>277</v>
      </c>
      <c r="C26" s="65" t="s">
        <v>278</v>
      </c>
      <c r="D26" s="72" t="str">
        <f>CHOOSE([6]Traduction!$A$2,[6]Traduction!$A46,[6]Traduction!$B46)</f>
        <v>o/w Italy</v>
      </c>
      <c r="E26" s="67" t="e">
        <f ca="1">_xll.GetCtData("CO-AMOUNT","CONS-AMOUNT",$A$1:$A$4,$A26:$B26,E$5:E$10,"#-88,982")</f>
        <v>#NAME?</v>
      </c>
      <c r="F26" s="68"/>
      <c r="G26" s="69" t="e">
        <f ca="1">_xll.GetCtData("CO-AMOUNT","CONS-AMOUNT",$A$1:$A$4,$A26:$B26,G$5:G$10,"#-88,772")</f>
        <v>#NAME?</v>
      </c>
      <c r="H26" s="68"/>
      <c r="I26" s="70" t="e">
        <f t="shared" ca="1" si="12"/>
        <v>#NAME?</v>
      </c>
      <c r="J26" s="71"/>
      <c r="K26" s="67" t="e">
        <f ca="1">_xll.GetCtData("CO-AMOUNT","CONS-AMOUNT",$A$1:$A$4,$A26:$B26,K$5:K$10,"#-67,413")</f>
        <v>#NAME?</v>
      </c>
      <c r="L26" s="68"/>
      <c r="M26" s="69" t="e">
        <f ca="1">_xll.GetCtData("CO-AMOUNT","CONS-AMOUNT",$A$1:$A$4,$A26:$B26,M$5:M$10,"#-60,617")</f>
        <v>#NAME?</v>
      </c>
      <c r="N26" s="51"/>
      <c r="O26" s="70" t="e">
        <f t="shared" ca="1" si="13"/>
        <v>#NAME?</v>
      </c>
      <c r="P26" s="53"/>
      <c r="Q26" s="67" t="e">
        <f ca="1">_xll.GetCtData("CO-AMOUNT","CONS-AMOUNT",$A$1:$A$4,$A26:$B26,Q$5:Q$10,"#-156,395")</f>
        <v>#NAME?</v>
      </c>
      <c r="R26" s="51"/>
      <c r="S26" s="69" t="e">
        <f ca="1">_xll.GetCtData("CO-AMOUNT","CONS-AMOUNT",$A$1:$A$4,$A26:$B26,S$5:S$10,"#-149,389")</f>
        <v>#NAME?</v>
      </c>
      <c r="T26" s="51"/>
      <c r="U26" s="70" t="e">
        <f t="shared" ca="1" si="14"/>
        <v>#NAME?</v>
      </c>
      <c r="V26" s="25"/>
      <c r="W26" s="67" t="e">
        <f ca="1">_xll.GetCtData("CO-AMOUNT","CONS-AMOUNT",$A$1:$A$4,$A26:$B26,W$5:W$10,"#")</f>
        <v>#NAME?</v>
      </c>
      <c r="X26" s="51"/>
      <c r="Y26" s="69" t="e">
        <f ca="1">_xll.GetCtData("CO-AMOUNT","CONS-AMOUNT",$A$1:$A$4,$A26:$B26,Y$5:Y$10,"#")</f>
        <v>#NAME?</v>
      </c>
      <c r="Z26" s="51"/>
      <c r="AA26" s="70" t="e">
        <f t="shared" ca="1" si="15"/>
        <v>#NAME?</v>
      </c>
      <c r="AB26" s="53"/>
      <c r="AC26" s="67" t="e">
        <f ca="1">_xll.GetCtData("CO-AMOUNT","CONS-AMOUNT",$A$1:$A$4,$A26:$B26,AC$5:AC$10,"#-1,438")</f>
        <v>#NAME?</v>
      </c>
      <c r="AD26" s="51"/>
      <c r="AE26" s="69" t="e">
        <f ca="1">_xll.GetCtData("CO-AMOUNT","CONS-AMOUNT",$A$1:$A$4,$A26:$B26,AE$5:AE$10,"#-1,5")</f>
        <v>#NAME?</v>
      </c>
      <c r="AF26" s="51"/>
      <c r="AG26" s="70" t="e">
        <f t="shared" ca="1" si="16"/>
        <v>#NAME?</v>
      </c>
      <c r="AH26" s="53"/>
      <c r="AI26" s="67" t="e">
        <f ca="1">_xll.GetCtData("CO-AMOUNT","CONS-AMOUNT",$A$1:$A$4,$A26:$B26,AI$5:AI$10,"#")</f>
        <v>#NAME?</v>
      </c>
      <c r="AJ26" s="51"/>
      <c r="AK26" s="69" t="e">
        <f ca="1">_xll.GetCtData("CO-AMOUNT","CONS-AMOUNT",$A$1:$A$4,$A26:$B26,AK$5:AK$10,"#")</f>
        <v>#NAME?</v>
      </c>
      <c r="AL26" s="51"/>
      <c r="AM26" s="70" t="e">
        <f t="shared" ca="1" si="17"/>
        <v>#NAME?</v>
      </c>
      <c r="AN26" s="53"/>
      <c r="AO26" s="67" t="e">
        <f ca="1">_xll.GetCtData("CO-AMOUNT","CONS-AMOUNT",$A$1:$A$4,$A26:$B26,AO$5:AO$10,"#")</f>
        <v>#NAME?</v>
      </c>
      <c r="AP26" s="51"/>
      <c r="AQ26" s="69" t="e">
        <f ca="1">_xll.GetCtData("CO-AMOUNT","CONS-AMOUNT",$A$1:$A$4,$A26:$B26,AQ$5:AQ$10,"#")</f>
        <v>#NAME?</v>
      </c>
      <c r="AR26" s="51"/>
      <c r="AS26" s="70" t="e">
        <f t="shared" ca="1" si="18"/>
        <v>#NAME?</v>
      </c>
      <c r="AT26" s="53"/>
      <c r="AU26" s="67" t="e">
        <f t="shared" ca="1" si="24"/>
        <v>#NAME?</v>
      </c>
      <c r="AV26" s="51"/>
      <c r="AW26" s="69" t="e">
        <f t="shared" ca="1" si="25"/>
        <v>#NAME?</v>
      </c>
      <c r="AX26" s="51"/>
      <c r="AY26" s="70" t="e">
        <f t="shared" ca="1" si="19"/>
        <v>#NAME?</v>
      </c>
      <c r="BA26" s="67" t="e">
        <f t="shared" ca="1" si="20"/>
        <v>#NAME?</v>
      </c>
      <c r="BB26" s="51"/>
      <c r="BC26" s="69" t="e">
        <f t="shared" ca="1" si="21"/>
        <v>#NAME?</v>
      </c>
      <c r="BD26" s="51"/>
      <c r="BE26" s="70" t="e">
        <f ca="1">BA26-BC26</f>
        <v>#NAME?</v>
      </c>
      <c r="BG26" s="67" t="e">
        <f ca="1">_xll.GetCtData("CO-AMOUNT","CONS-AMOUNT",$A$1:$A$4,$A26:$B26,BG$5:BG$10,"#")</f>
        <v>#NAME?</v>
      </c>
      <c r="BH26" s="51"/>
      <c r="BI26" s="69" t="e">
        <f ca="1">_xll.GetCtData("CO-AMOUNT","CONS-AMOUNT",$A$1:$A$4,$A26:$B26,BI$5:BI$10,"#")</f>
        <v>#NAME?</v>
      </c>
      <c r="BJ26" s="51"/>
      <c r="BK26" s="70" t="e">
        <f t="shared" ca="1" si="22"/>
        <v>#NAME?</v>
      </c>
      <c r="BL26" s="53"/>
      <c r="BN26" s="67" t="e">
        <f ca="1">_xll.GetCtData("CO-AMOUNT","CONS-AMOUNT",$A$1:$A$4,$A26:$B26,BN$5:BN$10,"#")</f>
        <v>#NAME?</v>
      </c>
      <c r="BO26" s="51"/>
      <c r="BP26" s="69" t="e">
        <f ca="1">_xll.GetCtData("CO-AMOUNT","CONS-AMOUNT",$A$1:$A$4,$A26:$B26,BP$5:BP$10,"#")</f>
        <v>#NAME?</v>
      </c>
      <c r="BQ26" s="51"/>
      <c r="BR26" s="70" t="e">
        <f t="shared" ca="1" si="23"/>
        <v>#NAME?</v>
      </c>
      <c r="BS26" s="53"/>
    </row>
    <row r="27" spans="1:71" s="65" customFormat="1" ht="14.25" hidden="1" customHeight="1" outlineLevel="1">
      <c r="A27" s="65" t="s">
        <v>279</v>
      </c>
      <c r="B27" s="65" t="s">
        <v>280</v>
      </c>
      <c r="C27" s="65" t="s">
        <v>281</v>
      </c>
      <c r="D27" s="74" t="str">
        <f>CHOOSE([6]Traduction!$A$2,[6]Traduction!$A48,[6]Traduction!$B48)</f>
        <v>o/w Spain</v>
      </c>
      <c r="E27" s="67" t="e">
        <f ca="1">_xll.GetCtData("CO-AMOUNT","CONS-AMOUNT",$A$1:$A$4,$A27:$B27,E$5:E$10,"#24,798")</f>
        <v>#NAME?</v>
      </c>
      <c r="F27" s="68"/>
      <c r="G27" s="69" t="e">
        <f ca="1">_xll.GetCtData("CO-AMOUNT","CONS-AMOUNT",$A$1:$A$4,$A27:$B27,G$5:G$10,"#28,693")</f>
        <v>#NAME?</v>
      </c>
      <c r="H27" s="68"/>
      <c r="I27" s="70" t="e">
        <f t="shared" ca="1" si="12"/>
        <v>#NAME?</v>
      </c>
      <c r="J27" s="71"/>
      <c r="K27" s="67" t="e">
        <f ca="1">_xll.GetCtData("CO-AMOUNT","CONS-AMOUNT",$A$1:$A$4,$A27:$B27,K$5:K$10,"#-10,801")</f>
        <v>#NAME?</v>
      </c>
      <c r="L27" s="68"/>
      <c r="M27" s="69" t="e">
        <f ca="1">_xll.GetCtData("CO-AMOUNT","CONS-AMOUNT",$A$1:$A$4,$A27:$B27,M$5:M$10,"#-14,025")</f>
        <v>#NAME?</v>
      </c>
      <c r="N27" s="51"/>
      <c r="O27" s="70" t="e">
        <f t="shared" ca="1" si="13"/>
        <v>#NAME?</v>
      </c>
      <c r="P27" s="53"/>
      <c r="Q27" s="67" t="e">
        <f ca="1">_xll.GetCtData("CO-AMOUNT","CONS-AMOUNT",$A$1:$A$4,$A27:$B27,Q$5:Q$10,"#13,997")</f>
        <v>#NAME?</v>
      </c>
      <c r="R27" s="51"/>
      <c r="S27" s="69" t="e">
        <f ca="1">_xll.GetCtData("CO-AMOUNT","CONS-AMOUNT",$A$1:$A$4,$A27:$B27,S$5:S$10,"#14,668")</f>
        <v>#NAME?</v>
      </c>
      <c r="T27" s="51"/>
      <c r="U27" s="70" t="e">
        <f t="shared" ca="1" si="14"/>
        <v>#NAME?</v>
      </c>
      <c r="V27" s="25"/>
      <c r="W27" s="67" t="e">
        <f ca="1">_xll.GetCtData("CO-AMOUNT","CONS-AMOUNT",$A$1:$A$4,$A27:$B27,W$5:W$10,"#")</f>
        <v>#NAME?</v>
      </c>
      <c r="X27" s="51"/>
      <c r="Y27" s="69" t="e">
        <f ca="1">_xll.GetCtData("CO-AMOUNT","CONS-AMOUNT",$A$1:$A$4,$A27:$B27,Y$5:Y$10,"#")</f>
        <v>#NAME?</v>
      </c>
      <c r="Z27" s="51"/>
      <c r="AA27" s="70" t="e">
        <f t="shared" ca="1" si="15"/>
        <v>#NAME?</v>
      </c>
      <c r="AB27" s="53"/>
      <c r="AC27" s="67" t="e">
        <f ca="1">_xll.GetCtData("CO-AMOUNT","CONS-AMOUNT",$A$1:$A$4,$A27:$B27,AC$5:AC$10,"#4,75")</f>
        <v>#NAME?</v>
      </c>
      <c r="AD27" s="51"/>
      <c r="AE27" s="69" t="e">
        <f ca="1">_xll.GetCtData("CO-AMOUNT","CONS-AMOUNT",$A$1:$A$4,$A27:$B27,AE$5:AE$10,"#-6,67")</f>
        <v>#NAME?</v>
      </c>
      <c r="AF27" s="51"/>
      <c r="AG27" s="70" t="e">
        <f t="shared" ca="1" si="16"/>
        <v>#NAME?</v>
      </c>
      <c r="AH27" s="53"/>
      <c r="AI27" s="67" t="e">
        <f ca="1">_xll.GetCtData("CO-AMOUNT","CONS-AMOUNT",$A$1:$A$4,$A27:$B27,AI$5:AI$10,"#")</f>
        <v>#NAME?</v>
      </c>
      <c r="AJ27" s="51"/>
      <c r="AK27" s="69" t="e">
        <f ca="1">_xll.GetCtData("CO-AMOUNT","CONS-AMOUNT",$A$1:$A$4,$A27:$B27,AK$5:AK$10,"#")</f>
        <v>#NAME?</v>
      </c>
      <c r="AL27" s="51"/>
      <c r="AM27" s="70" t="e">
        <f t="shared" ca="1" si="17"/>
        <v>#NAME?</v>
      </c>
      <c r="AN27" s="53"/>
      <c r="AO27" s="67" t="e">
        <f ca="1">_xll.GetCtData("CO-AMOUNT","CONS-AMOUNT",$A$1:$A$4,$A27:$B27,AO$5:AO$10,"#")</f>
        <v>#NAME?</v>
      </c>
      <c r="AP27" s="51"/>
      <c r="AQ27" s="69" t="e">
        <f ca="1">_xll.GetCtData("CO-AMOUNT","CONS-AMOUNT",$A$1:$A$4,$A27:$B27,AQ$5:AQ$10,"#")</f>
        <v>#NAME?</v>
      </c>
      <c r="AR27" s="51"/>
      <c r="AS27" s="70" t="e">
        <f t="shared" ca="1" si="18"/>
        <v>#NAME?</v>
      </c>
      <c r="AT27" s="53"/>
      <c r="AU27" s="67" t="e">
        <f t="shared" ca="1" si="24"/>
        <v>#NAME?</v>
      </c>
      <c r="AV27" s="51"/>
      <c r="AW27" s="69" t="e">
        <f t="shared" ca="1" si="25"/>
        <v>#NAME?</v>
      </c>
      <c r="AX27" s="51"/>
      <c r="AY27" s="70" t="e">
        <f t="shared" ca="1" si="19"/>
        <v>#NAME?</v>
      </c>
      <c r="BA27" s="67" t="e">
        <f t="shared" ca="1" si="20"/>
        <v>#NAME?</v>
      </c>
      <c r="BB27" s="51"/>
      <c r="BC27" s="69" t="e">
        <f t="shared" ca="1" si="21"/>
        <v>#NAME?</v>
      </c>
      <c r="BD27" s="51"/>
      <c r="BE27" s="70" t="e">
        <f t="shared" ca="1" si="26"/>
        <v>#NAME?</v>
      </c>
      <c r="BG27" s="67" t="e">
        <f ca="1">_xll.GetCtData("CO-AMOUNT","CONS-AMOUNT",$A$1:$A$4,$A27:$B27,BG$5:BG$10,"#")</f>
        <v>#NAME?</v>
      </c>
      <c r="BH27" s="51"/>
      <c r="BI27" s="69" t="e">
        <f ca="1">_xll.GetCtData("CO-AMOUNT","CONS-AMOUNT",$A$1:$A$4,$A27:$B27,BI$5:BI$10,"#")</f>
        <v>#NAME?</v>
      </c>
      <c r="BJ27" s="51"/>
      <c r="BK27" s="70" t="e">
        <f t="shared" ca="1" si="22"/>
        <v>#NAME?</v>
      </c>
      <c r="BL27" s="53"/>
      <c r="BN27" s="67" t="e">
        <f ca="1">_xll.GetCtData("CO-AMOUNT","CONS-AMOUNT",$A$1:$A$4,$A27:$B27,BN$5:BN$10,"#")</f>
        <v>#NAME?</v>
      </c>
      <c r="BO27" s="51"/>
      <c r="BP27" s="69" t="e">
        <f ca="1">_xll.GetCtData("CO-AMOUNT","CONS-AMOUNT",$A$1:$A$4,$A27:$B27,BP$5:BP$10,"#")</f>
        <v>#NAME?</v>
      </c>
      <c r="BQ27" s="51"/>
      <c r="BR27" s="70" t="e">
        <f t="shared" ca="1" si="23"/>
        <v>#NAME?</v>
      </c>
      <c r="BS27" s="53"/>
    </row>
    <row r="28" spans="1:71" s="65" customFormat="1" hidden="1" outlineLevel="1">
      <c r="A28" s="65" t="s">
        <v>276</v>
      </c>
      <c r="B28" s="65" t="s">
        <v>282</v>
      </c>
      <c r="C28" s="65" t="s">
        <v>283</v>
      </c>
      <c r="D28" s="74" t="str">
        <f>CHOOSE([6]Traduction!$A$2,[6]Traduction!$A49,[6]Traduction!$B49)</f>
        <v>o/w Germany</v>
      </c>
      <c r="E28" s="67" t="e">
        <f ca="1">_xll.GetCtData("CO-AMOUNT","CONS-AMOUNT",$A$1:$A$4,$A28:$B28,E$5:E$10,"#-93,515")</f>
        <v>#NAME?</v>
      </c>
      <c r="F28" s="68"/>
      <c r="G28" s="69" t="e">
        <f ca="1">_xll.GetCtData("CO-AMOUNT","CONS-AMOUNT",$A$1:$A$4,$A28:$B28,G$5:G$10,"#-85,636")</f>
        <v>#NAME?</v>
      </c>
      <c r="H28" s="68"/>
      <c r="I28" s="70" t="e">
        <f t="shared" ca="1" si="12"/>
        <v>#NAME?</v>
      </c>
      <c r="J28" s="71"/>
      <c r="K28" s="67" t="e">
        <f ca="1">_xll.GetCtData("CO-AMOUNT","CONS-AMOUNT",$A$1:$A$4,$A28:$B28,K$5:K$10,"#-148,525")</f>
        <v>#NAME?</v>
      </c>
      <c r="L28" s="68"/>
      <c r="M28" s="69" t="e">
        <f ca="1">_xll.GetCtData("CO-AMOUNT","CONS-AMOUNT",$A$1:$A$4,$A28:$B28,M$5:M$10,"#-154,48")</f>
        <v>#NAME?</v>
      </c>
      <c r="N28" s="51"/>
      <c r="O28" s="70" t="e">
        <f t="shared" ca="1" si="13"/>
        <v>#NAME?</v>
      </c>
      <c r="P28" s="53"/>
      <c r="Q28" s="67" t="e">
        <f ca="1">_xll.GetCtData("CO-AMOUNT","CONS-AMOUNT",$A$1:$A$4,$A28:$B28,Q$5:Q$10,"#-242,04")</f>
        <v>#NAME?</v>
      </c>
      <c r="R28" s="51"/>
      <c r="S28" s="69" t="e">
        <f ca="1">_xll.GetCtData("CO-AMOUNT","CONS-AMOUNT",$A$1:$A$4,$A28:$B28,S$5:S$10,"#-240,116")</f>
        <v>#NAME?</v>
      </c>
      <c r="T28" s="51"/>
      <c r="U28" s="70" t="e">
        <f t="shared" ca="1" si="14"/>
        <v>#NAME?</v>
      </c>
      <c r="V28" s="25"/>
      <c r="W28" s="67" t="e">
        <f ca="1">_xll.GetCtData("CO-AMOUNT","CONS-AMOUNT",$A$1:$A$4,$A28:$B28,W$5:W$10,"#")</f>
        <v>#NAME?</v>
      </c>
      <c r="X28" s="51"/>
      <c r="Y28" s="69" t="e">
        <f ca="1">_xll.GetCtData("CO-AMOUNT","CONS-AMOUNT",$A$1:$A$4,$A28:$B28,Y$5:Y$10,"#")</f>
        <v>#NAME?</v>
      </c>
      <c r="Z28" s="51"/>
      <c r="AA28" s="70" t="e">
        <f t="shared" ca="1" si="15"/>
        <v>#NAME?</v>
      </c>
      <c r="AB28" s="53"/>
      <c r="AC28" s="67" t="e">
        <f ca="1">_xll.GetCtData("CO-AMOUNT","CONS-AMOUNT",$A$1:$A$4,$A28:$B28,AC$5:AC$10,"#-26,862")</f>
        <v>#NAME?</v>
      </c>
      <c r="AD28" s="51"/>
      <c r="AE28" s="69" t="e">
        <f ca="1">_xll.GetCtData("CO-AMOUNT","CONS-AMOUNT",$A$1:$A$4,$A28:$B28,AE$5:AE$10,"#-26,003")</f>
        <v>#NAME?</v>
      </c>
      <c r="AF28" s="51"/>
      <c r="AG28" s="70" t="e">
        <f t="shared" ca="1" si="16"/>
        <v>#NAME?</v>
      </c>
      <c r="AH28" s="53"/>
      <c r="AI28" s="67" t="e">
        <f ca="1">_xll.GetCtData("CO-AMOUNT","CONS-AMOUNT",$A$1:$A$4,$A28:$B28,AI$5:AI$10,"#")</f>
        <v>#NAME?</v>
      </c>
      <c r="AJ28" s="51"/>
      <c r="AK28" s="69" t="e">
        <f ca="1">_xll.GetCtData("CO-AMOUNT","CONS-AMOUNT",$A$1:$A$4,$A28:$B28,AK$5:AK$10,"#")</f>
        <v>#NAME?</v>
      </c>
      <c r="AL28" s="51"/>
      <c r="AM28" s="70" t="e">
        <f t="shared" ca="1" si="17"/>
        <v>#NAME?</v>
      </c>
      <c r="AN28" s="53"/>
      <c r="AO28" s="67" t="e">
        <f ca="1">_xll.GetCtData("CO-AMOUNT","CONS-AMOUNT",$A$1:$A$4,$A28:$B28,AO$5:AO$10,"#-0,244")</f>
        <v>#NAME?</v>
      </c>
      <c r="AP28" s="51"/>
      <c r="AQ28" s="69" t="e">
        <f ca="1">_xll.GetCtData("CO-AMOUNT","CONS-AMOUNT",$A$1:$A$4,$A28:$B28,AQ$5:AQ$10,"#-0,18")</f>
        <v>#NAME?</v>
      </c>
      <c r="AR28" s="51"/>
      <c r="AS28" s="70" t="e">
        <f t="shared" ca="1" si="18"/>
        <v>#NAME?</v>
      </c>
      <c r="AT28" s="53"/>
      <c r="AU28" s="67" t="e">
        <f t="shared" ca="1" si="24"/>
        <v>#NAME?</v>
      </c>
      <c r="AV28" s="51"/>
      <c r="AW28" s="69" t="e">
        <f t="shared" ca="1" si="25"/>
        <v>#NAME?</v>
      </c>
      <c r="AX28" s="51"/>
      <c r="AY28" s="70" t="e">
        <f t="shared" ca="1" si="19"/>
        <v>#NAME?</v>
      </c>
      <c r="BA28" s="67" t="e">
        <f t="shared" ca="1" si="20"/>
        <v>#NAME?</v>
      </c>
      <c r="BB28" s="51"/>
      <c r="BC28" s="69" t="e">
        <f t="shared" ca="1" si="21"/>
        <v>#NAME?</v>
      </c>
      <c r="BD28" s="51"/>
      <c r="BE28" s="70" t="e">
        <f t="shared" ca="1" si="26"/>
        <v>#NAME?</v>
      </c>
      <c r="BG28" s="67" t="e">
        <f ca="1">_xll.GetCtData("CO-AMOUNT","CONS-AMOUNT",$A$1:$A$4,$A28:$B28,BG$5:BG$10,"#-0,244")</f>
        <v>#NAME?</v>
      </c>
      <c r="BH28" s="51"/>
      <c r="BI28" s="69" t="e">
        <f ca="1">_xll.GetCtData("CO-AMOUNT","CONS-AMOUNT",$A$1:$A$4,$A28:$B28,BI$5:BI$10,"#-0,18")</f>
        <v>#NAME?</v>
      </c>
      <c r="BJ28" s="51"/>
      <c r="BK28" s="70" t="e">
        <f t="shared" ca="1" si="22"/>
        <v>#NAME?</v>
      </c>
      <c r="BL28" s="53"/>
      <c r="BN28" s="67" t="e">
        <f ca="1">_xll.GetCtData("CO-AMOUNT","CONS-AMOUNT",$A$1:$A$4,$A28:$B28,BN$5:BN$10,"#")</f>
        <v>#NAME?</v>
      </c>
      <c r="BO28" s="51"/>
      <c r="BP28" s="69" t="e">
        <f ca="1">_xll.GetCtData("CO-AMOUNT","CONS-AMOUNT",$A$1:$A$4,$A28:$B28,BP$5:BP$10,"#")</f>
        <v>#NAME?</v>
      </c>
      <c r="BQ28" s="51"/>
      <c r="BR28" s="70" t="e">
        <f t="shared" ca="1" si="23"/>
        <v>#NAME?</v>
      </c>
      <c r="BS28" s="53"/>
    </row>
    <row r="29" spans="1:71" s="65" customFormat="1" hidden="1" outlineLevel="1">
      <c r="A29" s="65" t="s">
        <v>276</v>
      </c>
      <c r="B29" s="65" t="s">
        <v>284</v>
      </c>
      <c r="C29" s="65" t="s">
        <v>285</v>
      </c>
      <c r="D29" s="74" t="str">
        <f>CHOOSE([6]Traduction!$A$2,[6]Traduction!$A50,[6]Traduction!$B50)</f>
        <v>o/w Portugal</v>
      </c>
      <c r="E29" s="67" t="e">
        <f ca="1">_xll.GetCtData("CO-AMOUNT","CONS-AMOUNT",$A$1:$A$4,$A29:$B29,E$5:E$10,"#321")</f>
        <v>#NAME?</v>
      </c>
      <c r="F29" s="68"/>
      <c r="G29" s="69" t="e">
        <f ca="1">_xll.GetCtData("CO-AMOUNT","CONS-AMOUNT",$A$1:$A$4,$A29:$B29,G$5:G$10,"#200,183")</f>
        <v>#NAME?</v>
      </c>
      <c r="H29" s="68"/>
      <c r="I29" s="70" t="e">
        <f t="shared" ca="1" si="12"/>
        <v>#NAME?</v>
      </c>
      <c r="J29" s="71"/>
      <c r="K29" s="67" t="e">
        <f ca="1">_xll.GetCtData("CO-AMOUNT","CONS-AMOUNT",$A$1:$A$4,$A29:$B29,K$5:K$10,"#-182,3")</f>
        <v>#NAME?</v>
      </c>
      <c r="L29" s="68"/>
      <c r="M29" s="69" t="e">
        <f ca="1">_xll.GetCtData("CO-AMOUNT","CONS-AMOUNT",$A$1:$A$4,$A29:$B29,M$5:M$10,"#-231,556")</f>
        <v>#NAME?</v>
      </c>
      <c r="N29" s="51"/>
      <c r="O29" s="70" t="e">
        <f t="shared" ca="1" si="13"/>
        <v>#NAME?</v>
      </c>
      <c r="P29" s="53"/>
      <c r="Q29" s="67" t="e">
        <f ca="1">_xll.GetCtData("CO-AMOUNT","CONS-AMOUNT",$A$1:$A$4,$A29:$B29,Q$5:Q$10,"#138,7")</f>
        <v>#NAME?</v>
      </c>
      <c r="R29" s="51"/>
      <c r="S29" s="69" t="e">
        <f ca="1">_xll.GetCtData("CO-AMOUNT","CONS-AMOUNT",$A$1:$A$4,$A29:$B29,S$5:S$10,"#-31,373")</f>
        <v>#NAME?</v>
      </c>
      <c r="T29" s="51"/>
      <c r="U29" s="70" t="e">
        <f t="shared" ca="1" si="14"/>
        <v>#NAME?</v>
      </c>
      <c r="V29" s="25"/>
      <c r="W29" s="67" t="e">
        <f ca="1">_xll.GetCtData("CO-AMOUNT","CONS-AMOUNT",$A$1:$A$4,$A29:$B29,W$5:W$10,"#")</f>
        <v>#NAME?</v>
      </c>
      <c r="X29" s="51"/>
      <c r="Y29" s="69" t="e">
        <f ca="1">_xll.GetCtData("CO-AMOUNT","CONS-AMOUNT",$A$1:$A$4,$A29:$B29,Y$5:Y$10,"#")</f>
        <v>#NAME?</v>
      </c>
      <c r="Z29" s="51"/>
      <c r="AA29" s="70" t="e">
        <f t="shared" ca="1" si="15"/>
        <v>#NAME?</v>
      </c>
      <c r="AB29" s="53"/>
      <c r="AC29" s="67" t="e">
        <f ca="1">_xll.GetCtData("CO-AMOUNT","CONS-AMOUNT",$A$1:$A$4,$A29:$B29,AC$5:AC$10,"#-24,25")</f>
        <v>#NAME?</v>
      </c>
      <c r="AD29" s="51"/>
      <c r="AE29" s="69" t="e">
        <f ca="1">_xll.GetCtData("CO-AMOUNT","CONS-AMOUNT",$A$1:$A$4,$A29:$B29,AE$5:AE$10,"#-24,333")</f>
        <v>#NAME?</v>
      </c>
      <c r="AF29" s="51"/>
      <c r="AG29" s="70" t="e">
        <f t="shared" ca="1" si="16"/>
        <v>#NAME?</v>
      </c>
      <c r="AH29" s="53"/>
      <c r="AI29" s="67" t="e">
        <f ca="1">_xll.GetCtData("CO-AMOUNT","CONS-AMOUNT",$A$1:$A$4,$A29:$B29,AI$5:AI$10,"#")</f>
        <v>#NAME?</v>
      </c>
      <c r="AJ29" s="51"/>
      <c r="AK29" s="69" t="e">
        <f ca="1">_xll.GetCtData("CO-AMOUNT","CONS-AMOUNT",$A$1:$A$4,$A29:$B29,AK$5:AK$10,"#")</f>
        <v>#NAME?</v>
      </c>
      <c r="AL29" s="51"/>
      <c r="AM29" s="70" t="e">
        <f t="shared" ca="1" si="17"/>
        <v>#NAME?</v>
      </c>
      <c r="AN29" s="53"/>
      <c r="AO29" s="67" t="e">
        <f ca="1">_xll.GetCtData("CO-AMOUNT","CONS-AMOUNT",$A$1:$A$4,$A29:$B29,AO$5:AO$10,"#-8,1")</f>
        <v>#NAME?</v>
      </c>
      <c r="AP29" s="51"/>
      <c r="AQ29" s="69" t="e">
        <f ca="1">_xll.GetCtData("CO-AMOUNT","CONS-AMOUNT",$A$1:$A$4,$A29:$B29,AQ$5:AQ$10,"#-8,692")</f>
        <v>#NAME?</v>
      </c>
      <c r="AR29" s="51"/>
      <c r="AS29" s="70" t="e">
        <f t="shared" ca="1" si="18"/>
        <v>#NAME?</v>
      </c>
      <c r="AT29" s="53"/>
      <c r="AU29" s="67" t="e">
        <f t="shared" ca="1" si="24"/>
        <v>#NAME?</v>
      </c>
      <c r="AV29" s="51"/>
      <c r="AW29" s="69" t="e">
        <f t="shared" ca="1" si="25"/>
        <v>#NAME?</v>
      </c>
      <c r="AX29" s="51"/>
      <c r="AY29" s="70" t="e">
        <f t="shared" ca="1" si="19"/>
        <v>#NAME?</v>
      </c>
      <c r="BA29" s="67" t="e">
        <f t="shared" ca="1" si="20"/>
        <v>#NAME?</v>
      </c>
      <c r="BB29" s="51"/>
      <c r="BC29" s="69" t="e">
        <f t="shared" ca="1" si="21"/>
        <v>#NAME?</v>
      </c>
      <c r="BD29" s="51"/>
      <c r="BE29" s="70" t="e">
        <f t="shared" ca="1" si="26"/>
        <v>#NAME?</v>
      </c>
      <c r="BG29" s="67" t="e">
        <f ca="1">_xll.GetCtData("CO-AMOUNT","CONS-AMOUNT",$A$1:$A$4,$A29:$B29,BG$5:BG$10,"#")</f>
        <v>#NAME?</v>
      </c>
      <c r="BH29" s="51"/>
      <c r="BI29" s="69" t="e">
        <f ca="1">_xll.GetCtData("CO-AMOUNT","CONS-AMOUNT",$A$1:$A$4,$A29:$B29,BI$5:BI$10,"#-8,692")</f>
        <v>#NAME?</v>
      </c>
      <c r="BJ29" s="51"/>
      <c r="BK29" s="70" t="e">
        <f t="shared" ca="1" si="22"/>
        <v>#NAME?</v>
      </c>
      <c r="BL29" s="53"/>
      <c r="BN29" s="67" t="e">
        <f ca="1">_xll.GetCtData("CO-AMOUNT","CONS-AMOUNT",$A$1:$A$4,$A29:$B29,BN$5:BN$10,"#-8,1")</f>
        <v>#NAME?</v>
      </c>
      <c r="BO29" s="51"/>
      <c r="BP29" s="69" t="e">
        <f ca="1">_xll.GetCtData("CO-AMOUNT","CONS-AMOUNT",$A$1:$A$4,$A29:$B29,BP$5:BP$10,"#")</f>
        <v>#NAME?</v>
      </c>
      <c r="BQ29" s="51"/>
      <c r="BR29" s="70" t="e">
        <f t="shared" ca="1" si="23"/>
        <v>#NAME?</v>
      </c>
      <c r="BS29" s="53"/>
    </row>
    <row r="30" spans="1:71" s="65" customFormat="1" hidden="1" outlineLevel="1">
      <c r="A30" s="65" t="s">
        <v>260</v>
      </c>
      <c r="B30" s="65" t="s">
        <v>286</v>
      </c>
      <c r="C30" s="65" t="s">
        <v>103</v>
      </c>
      <c r="D30" s="74" t="str">
        <f>CHOOSE([6]Traduction!$A$2,[6]Traduction!$A52,[6]Traduction!$B52)</f>
        <v>o/w UK</v>
      </c>
      <c r="E30" s="67" t="e">
        <f ca="1">_xll.GetCtData("CO-AMOUNT","CONS-AMOUNT",$A$1:$A$4,$A30:$B30,E$5:E$10,"#12,6338514234335")</f>
        <v>#NAME?</v>
      </c>
      <c r="F30" s="68"/>
      <c r="G30" s="69" t="e">
        <f ca="1">_xll.GetCtData("CO-AMOUNT","CONS-AMOUNT",$A$1:$A$4,$A30:$B30,G$5:G$10,"#12,5719900262874")</f>
        <v>#NAME?</v>
      </c>
      <c r="H30" s="68"/>
      <c r="I30" s="70" t="e">
        <f t="shared" ca="1" si="12"/>
        <v>#NAME?</v>
      </c>
      <c r="J30" s="71"/>
      <c r="K30" s="67" t="e">
        <f ca="1">_xll.GetCtData("CO-AMOUNT","CONS-AMOUNT",$A$1:$A$4,$A30:$B30,K$5:K$10,"#-80,2485658327114")</f>
        <v>#NAME?</v>
      </c>
      <c r="L30" s="68"/>
      <c r="M30" s="69" t="e">
        <f ca="1">_xll.GetCtData("CO-AMOUNT","CONS-AMOUNT",$A$1:$A$4,$A30:$B30,M$5:M$10,"#-67,7849407197164")</f>
        <v>#NAME?</v>
      </c>
      <c r="N30" s="51"/>
      <c r="O30" s="70" t="e">
        <f t="shared" ca="1" si="13"/>
        <v>#NAME?</v>
      </c>
      <c r="P30" s="53"/>
      <c r="Q30" s="67" t="e">
        <f ca="1">_xll.GetCtData("CO-AMOUNT","CONS-AMOUNT",$A$1:$A$4,$A30:$B30,Q$5:Q$10,"#-67,6147144092779")</f>
        <v>#NAME?</v>
      </c>
      <c r="R30" s="51"/>
      <c r="S30" s="69" t="e">
        <f ca="1">_xll.GetCtData("CO-AMOUNT","CONS-AMOUNT",$A$1:$A$4,$A30:$B30,S$5:S$10,"#-55,212950693429")</f>
        <v>#NAME?</v>
      </c>
      <c r="T30" s="51"/>
      <c r="U30" s="70" t="e">
        <f t="shared" ca="1" si="14"/>
        <v>#NAME?</v>
      </c>
      <c r="V30" s="25"/>
      <c r="W30" s="67" t="e">
        <f ca="1">_xll.GetCtData("CO-AMOUNT","CONS-AMOUNT",$A$1:$A$4,$A30:$B30,W$5:W$10,"#")</f>
        <v>#NAME?</v>
      </c>
      <c r="X30" s="51"/>
      <c r="Y30" s="69" t="e">
        <f ca="1">_xll.GetCtData("CO-AMOUNT","CONS-AMOUNT",$A$1:$A$4,$A30:$B30,Y$5:Y$10,"#")</f>
        <v>#NAME?</v>
      </c>
      <c r="Z30" s="51"/>
      <c r="AA30" s="70" t="e">
        <f t="shared" ca="1" si="15"/>
        <v>#NAME?</v>
      </c>
      <c r="AB30" s="53"/>
      <c r="AC30" s="67" t="e">
        <f ca="1">_xll.GetCtData("CO-AMOUNT","CONS-AMOUNT",$A$1:$A$4,$A30:$B30,AC$5:AC$10,"#")</f>
        <v>#NAME?</v>
      </c>
      <c r="AD30" s="51"/>
      <c r="AE30" s="69" t="e">
        <f ca="1">_xll.GetCtData("CO-AMOUNT","CONS-AMOUNT",$A$1:$A$4,$A30:$B30,AE$5:AE$10,"#")</f>
        <v>#NAME?</v>
      </c>
      <c r="AF30" s="51"/>
      <c r="AG30" s="70" t="e">
        <f t="shared" ca="1" si="16"/>
        <v>#NAME?</v>
      </c>
      <c r="AH30" s="53"/>
      <c r="AI30" s="67" t="e">
        <f ca="1">_xll.GetCtData("CO-AMOUNT","CONS-AMOUNT",$A$1:$A$4,$A30:$B30,AI$5:AI$10,"#")</f>
        <v>#NAME?</v>
      </c>
      <c r="AJ30" s="51"/>
      <c r="AK30" s="69" t="e">
        <f ca="1">_xll.GetCtData("CO-AMOUNT","CONS-AMOUNT",$A$1:$A$4,$A30:$B30,AK$5:AK$10,"#")</f>
        <v>#NAME?</v>
      </c>
      <c r="AL30" s="51"/>
      <c r="AM30" s="70" t="e">
        <f t="shared" ca="1" si="17"/>
        <v>#NAME?</v>
      </c>
      <c r="AN30" s="53"/>
      <c r="AO30" s="67" t="e">
        <f ca="1">_xll.GetCtData("CO-AMOUNT","CONS-AMOUNT",$A$1:$A$4,$A30:$B30,AO$5:AO$10,"#-1,47414127821284")</f>
        <v>#NAME?</v>
      </c>
      <c r="AP30" s="51"/>
      <c r="AQ30" s="69" t="e">
        <f ca="1">_xll.GetCtData("CO-AMOUNT","CONS-AMOUNT",$A$1:$A$4,$A30:$B30,AQ$5:AQ$10,"#-1,4878777187074")</f>
        <v>#NAME?</v>
      </c>
      <c r="AR30" s="51"/>
      <c r="AS30" s="70" t="e">
        <f t="shared" ca="1" si="18"/>
        <v>#NAME?</v>
      </c>
      <c r="AT30" s="53"/>
      <c r="AU30" s="67" t="e">
        <f t="shared" ca="1" si="24"/>
        <v>#NAME?</v>
      </c>
      <c r="AV30" s="51"/>
      <c r="AW30" s="69" t="e">
        <f t="shared" ca="1" si="25"/>
        <v>#NAME?</v>
      </c>
      <c r="AX30" s="51"/>
      <c r="AY30" s="70" t="e">
        <f t="shared" ca="1" si="19"/>
        <v>#NAME?</v>
      </c>
      <c r="BA30" s="67" t="e">
        <f t="shared" ca="1" si="20"/>
        <v>#NAME?</v>
      </c>
      <c r="BB30" s="51"/>
      <c r="BC30" s="69" t="e">
        <f t="shared" ca="1" si="21"/>
        <v>#NAME?</v>
      </c>
      <c r="BD30" s="51"/>
      <c r="BE30" s="70" t="e">
        <f t="shared" ca="1" si="26"/>
        <v>#NAME?</v>
      </c>
      <c r="BG30" s="67" t="e">
        <f ca="1">_xll.GetCtData("CO-AMOUNT","CONS-AMOUNT",$A$1:$A$4,$A30:$B30,BG$5:BG$10,"#-1,47414127821284")</f>
        <v>#NAME?</v>
      </c>
      <c r="BH30" s="51"/>
      <c r="BI30" s="69" t="e">
        <f ca="1">_xll.GetCtData("CO-AMOUNT","CONS-AMOUNT",$A$1:$A$4,$A30:$B30,BI$5:BI$10,"#-1,4878777187074")</f>
        <v>#NAME?</v>
      </c>
      <c r="BJ30" s="51"/>
      <c r="BK30" s="70" t="e">
        <f t="shared" ca="1" si="22"/>
        <v>#NAME?</v>
      </c>
      <c r="BL30" s="53"/>
      <c r="BN30" s="67" t="e">
        <f ca="1">_xll.GetCtData("CO-AMOUNT","CONS-AMOUNT",$A$1:$A$4,$A30:$B30,BN$5:BN$10,"#")</f>
        <v>#NAME?</v>
      </c>
      <c r="BO30" s="51"/>
      <c r="BP30" s="69" t="e">
        <f ca="1">_xll.GetCtData("CO-AMOUNT","CONS-AMOUNT",$A$1:$A$4,$A30:$B30,BP$5:BP$10,"#")</f>
        <v>#NAME?</v>
      </c>
      <c r="BQ30" s="51"/>
      <c r="BR30" s="70" t="e">
        <f t="shared" ca="1" si="23"/>
        <v>#NAME?</v>
      </c>
      <c r="BS30" s="53"/>
    </row>
    <row r="31" spans="1:71" s="75" customFormat="1" ht="14.4" hidden="1" outlineLevel="2">
      <c r="A31" s="75" t="s">
        <v>260</v>
      </c>
      <c r="B31" s="75" t="s">
        <v>286</v>
      </c>
      <c r="C31" s="75" t="s">
        <v>287</v>
      </c>
      <c r="D31" s="76" t="s">
        <v>288</v>
      </c>
      <c r="E31" s="77" t="e">
        <f ca="1">_xll.GetCtData("CO-AMOUNT","AMOUNT",$A$1:$A$4,$A31:$B31,E$5:E$10,"#10,97")</f>
        <v>#NAME?</v>
      </c>
      <c r="F31" s="78"/>
      <c r="G31" s="79" t="e">
        <f ca="1">_xll.GetCtData("CO-AMOUNT","AMOUNT",$A$1:$A$4,$A31:$B31,G$5:G$10,"#10,9")</f>
        <v>#NAME?</v>
      </c>
      <c r="H31" s="78"/>
      <c r="I31" s="80" t="e">
        <f t="shared" ca="1" si="12"/>
        <v>#NAME?</v>
      </c>
      <c r="J31" s="81"/>
      <c r="K31" s="77" t="e">
        <f ca="1">_xll.GetCtData("CO-AMOUNT","AMOUNT",$A$1:$A$4,$A31:$B31,K$5:K$10,"#-69,68")</f>
        <v>#NAME?</v>
      </c>
      <c r="L31" s="78"/>
      <c r="M31" s="79" t="e">
        <f ca="1">_xll.GetCtData("CO-AMOUNT","AMOUNT",$A$1:$A$4,$A31:$B31,M$5:M$10,"#-58,77")</f>
        <v>#NAME?</v>
      </c>
      <c r="N31" s="82"/>
      <c r="O31" s="80" t="e">
        <f t="shared" ca="1" si="13"/>
        <v>#NAME?</v>
      </c>
      <c r="P31" s="83"/>
      <c r="Q31" s="77" t="e">
        <f ca="1">_xll.GetCtData("CO-AMOUNT","AMOUNT",$A$1:$A$4,$A31:$B31,Q$5:Q$10,"#-58,71")</f>
        <v>#NAME?</v>
      </c>
      <c r="R31" s="82"/>
      <c r="S31" s="79" t="e">
        <f ca="1">_xll.GetCtData("CO-AMOUNT","AMOUNT",$A$1:$A$4,$A31:$B31,S$5:S$10,"#-47,87")</f>
        <v>#NAME?</v>
      </c>
      <c r="T31" s="82"/>
      <c r="U31" s="80" t="e">
        <f t="shared" ca="1" si="14"/>
        <v>#NAME?</v>
      </c>
      <c r="V31" s="25"/>
      <c r="W31" s="77" t="e">
        <f ca="1">_xll.GetCtData("CO-AMOUNT","AMOUNT",$A$1:$A$4,$A31:$B31,W$5:W$10,"#")</f>
        <v>#NAME?</v>
      </c>
      <c r="X31" s="82"/>
      <c r="Y31" s="79" t="e">
        <f ca="1">_xll.GetCtData("CO-AMOUNT","AMOUNT",$A$1:$A$4,$A31:$B31,Y$5:Y$10,"#")</f>
        <v>#NAME?</v>
      </c>
      <c r="Z31" s="82"/>
      <c r="AA31" s="80" t="e">
        <f t="shared" ca="1" si="15"/>
        <v>#NAME?</v>
      </c>
      <c r="AB31" s="83"/>
      <c r="AC31" s="77" t="e">
        <f ca="1">_xll.GetCtData("CO-AMOUNT","AMOUNT",$A$1:$A$4,$A31:$B31,AC$5:AC$10,"#")</f>
        <v>#NAME?</v>
      </c>
      <c r="AD31" s="82"/>
      <c r="AE31" s="79" t="e">
        <f ca="1">_xll.GetCtData("CO-AMOUNT","AMOUNT",$A$1:$A$4,$A31:$B31,AE$5:AE$10,"#")</f>
        <v>#NAME?</v>
      </c>
      <c r="AF31" s="82"/>
      <c r="AG31" s="80" t="e">
        <f t="shared" ca="1" si="16"/>
        <v>#NAME?</v>
      </c>
      <c r="AH31" s="83"/>
      <c r="AI31" s="77" t="e">
        <f ca="1">_xll.GetCtData("CO-AMOUNT","AMOUNT",$A$1:$A$4,$A31:$B31,AI$5:AI$10,"#")</f>
        <v>#NAME?</v>
      </c>
      <c r="AJ31" s="82"/>
      <c r="AK31" s="79" t="e">
        <f ca="1">_xll.GetCtData("CO-AMOUNT","AMOUNT",$A$1:$A$4,$A31:$B31,AK$5:AK$10,"#")</f>
        <v>#NAME?</v>
      </c>
      <c r="AL31" s="82"/>
      <c r="AM31" s="80" t="e">
        <f t="shared" ca="1" si="17"/>
        <v>#NAME?</v>
      </c>
      <c r="AN31" s="83"/>
      <c r="AO31" s="77" t="e">
        <f ca="1">_xll.GetCtData("CO-AMOUNT","AMOUNT",$A$1:$A$4,$A31:$B31,AO$5:AO$10,"#-1,28")</f>
        <v>#NAME?</v>
      </c>
      <c r="AP31" s="82"/>
      <c r="AQ31" s="79" t="e">
        <f ca="1">_xll.GetCtData("CO-AMOUNT","AMOUNT",$A$1:$A$4,$A31:$B31,AQ$5:AQ$10,"#-1,29")</f>
        <v>#NAME?</v>
      </c>
      <c r="AR31" s="82"/>
      <c r="AS31" s="80" t="e">
        <f t="shared" ca="1" si="18"/>
        <v>#NAME?</v>
      </c>
      <c r="AT31" s="83"/>
      <c r="AU31" s="77" t="e">
        <f t="shared" ca="1" si="24"/>
        <v>#NAME?</v>
      </c>
      <c r="AV31" s="82"/>
      <c r="AW31" s="79" t="e">
        <f t="shared" ca="1" si="25"/>
        <v>#NAME?</v>
      </c>
      <c r="AX31" s="82"/>
      <c r="AY31" s="80" t="e">
        <f t="shared" ca="1" si="19"/>
        <v>#NAME?</v>
      </c>
      <c r="BA31" s="77" t="e">
        <f t="shared" ca="1" si="20"/>
        <v>#NAME?</v>
      </c>
      <c r="BB31" s="82"/>
      <c r="BC31" s="79" t="e">
        <f t="shared" ca="1" si="21"/>
        <v>#NAME?</v>
      </c>
      <c r="BD31" s="82"/>
      <c r="BE31" s="80" t="e">
        <f t="shared" ca="1" si="26"/>
        <v>#NAME?</v>
      </c>
      <c r="BG31" s="77" t="e">
        <f ca="1">_xll.GetCtData("CO-AMOUNT","AMOUNT",$A$1:$A$4,$A31:$B31,BG$5:BG$10,"#-1,28")</f>
        <v>#NAME?</v>
      </c>
      <c r="BH31" s="82"/>
      <c r="BI31" s="79" t="e">
        <f ca="1">_xll.GetCtData("CO-AMOUNT","AMOUNT",$A$1:$A$4,$A31:$B31,BI$5:BI$10,"#-1,29")</f>
        <v>#NAME?</v>
      </c>
      <c r="BJ31" s="82"/>
      <c r="BK31" s="80" t="e">
        <f t="shared" ca="1" si="22"/>
        <v>#NAME?</v>
      </c>
      <c r="BL31" s="83"/>
      <c r="BN31" s="77" t="e">
        <f ca="1">_xll.GetCtData("CO-AMOUNT","AMOUNT",$A$1:$A$4,$A31:$B31,BN$5:BN$10,"#")</f>
        <v>#NAME?</v>
      </c>
      <c r="BO31" s="82"/>
      <c r="BP31" s="79" t="e">
        <f ca="1">_xll.GetCtData("CO-AMOUNT","AMOUNT",$A$1:$A$4,$A31:$B31,BP$5:BP$10,"#")</f>
        <v>#NAME?</v>
      </c>
      <c r="BQ31" s="82"/>
      <c r="BR31" s="80" t="e">
        <f t="shared" ca="1" si="23"/>
        <v>#NAME?</v>
      </c>
      <c r="BS31" s="83"/>
    </row>
    <row r="32" spans="1:71" s="65" customFormat="1" hidden="1" outlineLevel="2" collapsed="1">
      <c r="A32" s="65" t="s">
        <v>276</v>
      </c>
      <c r="B32" s="65" t="s">
        <v>289</v>
      </c>
      <c r="C32" s="65" t="s">
        <v>290</v>
      </c>
      <c r="D32" s="74" t="str">
        <f>CHOOSE([6]Traduction!$A$2,[6]Traduction!$A53,[6]Traduction!$B53)</f>
        <v>o/w Luxembourg</v>
      </c>
      <c r="E32" s="67" t="e">
        <f ca="1">_xll.GetCtData("CO-AMOUNT","CONS-AMOUNT",$A$1:$A$4,$A32:$B32,E$5:E$10,"#")</f>
        <v>#NAME?</v>
      </c>
      <c r="F32" s="68"/>
      <c r="G32" s="69" t="e">
        <f ca="1">_xll.GetCtData("CO-AMOUNT","CONS-AMOUNT",$A$1:$A$4,$A32:$B32,G$5:G$10,"#")</f>
        <v>#NAME?</v>
      </c>
      <c r="H32" s="68"/>
      <c r="I32" s="70" t="e">
        <f t="shared" ca="1" si="12"/>
        <v>#NAME?</v>
      </c>
      <c r="J32" s="71"/>
      <c r="K32" s="67" t="e">
        <f ca="1">_xll.GetCtData("CO-AMOUNT","CONS-AMOUNT",$A$1:$A$4,$A32:$B32,K$5:K$10,"#")</f>
        <v>#NAME?</v>
      </c>
      <c r="L32" s="68"/>
      <c r="M32" s="69" t="e">
        <f ca="1">_xll.GetCtData("CO-AMOUNT","CONS-AMOUNT",$A$1:$A$4,$A32:$B32,M$5:M$10,"#")</f>
        <v>#NAME?</v>
      </c>
      <c r="N32" s="51"/>
      <c r="O32" s="70" t="e">
        <f t="shared" ca="1" si="13"/>
        <v>#NAME?</v>
      </c>
      <c r="P32" s="53"/>
      <c r="Q32" s="67" t="e">
        <f ca="1">_xll.GetCtData("CO-AMOUNT","CONS-AMOUNT",$A$1:$A$4,$A32:$B32,Q$5:Q$10,"#")</f>
        <v>#NAME?</v>
      </c>
      <c r="R32" s="51"/>
      <c r="S32" s="69" t="e">
        <f ca="1">_xll.GetCtData("CO-AMOUNT","CONS-AMOUNT",$A$1:$A$4,$A32:$B32,S$5:S$10,"#")</f>
        <v>#NAME?</v>
      </c>
      <c r="T32" s="51"/>
      <c r="U32" s="70" t="e">
        <f t="shared" ca="1" si="14"/>
        <v>#NAME?</v>
      </c>
      <c r="V32" s="25"/>
      <c r="W32" s="67" t="e">
        <f ca="1">_xll.GetCtData("CO-AMOUNT","CONS-AMOUNT",$A$1:$A$4,$A32:$B32,W$5:W$10,"#")</f>
        <v>#NAME?</v>
      </c>
      <c r="X32" s="51"/>
      <c r="Y32" s="69" t="e">
        <f ca="1">_xll.GetCtData("CO-AMOUNT","CONS-AMOUNT",$A$1:$A$4,$A32:$B32,Y$5:Y$10,"#")</f>
        <v>#NAME?</v>
      </c>
      <c r="Z32" s="51"/>
      <c r="AA32" s="70" t="e">
        <f t="shared" ca="1" si="15"/>
        <v>#NAME?</v>
      </c>
      <c r="AB32" s="53"/>
      <c r="AC32" s="67" t="e">
        <f ca="1">_xll.GetCtData("CO-AMOUNT","CONS-AMOUNT",$A$1:$A$4,$A32:$B32,AC$5:AC$10,"#")</f>
        <v>#NAME?</v>
      </c>
      <c r="AD32" s="51"/>
      <c r="AE32" s="69" t="e">
        <f ca="1">_xll.GetCtData("CO-AMOUNT","CONS-AMOUNT",$A$1:$A$4,$A32:$B32,AE$5:AE$10,"#")</f>
        <v>#NAME?</v>
      </c>
      <c r="AF32" s="51"/>
      <c r="AG32" s="70" t="e">
        <f t="shared" ca="1" si="16"/>
        <v>#NAME?</v>
      </c>
      <c r="AH32" s="53"/>
      <c r="AI32" s="67" t="e">
        <f ca="1">_xll.GetCtData("CO-AMOUNT","CONS-AMOUNT",$A$1:$A$4,$A32:$B32,AI$5:AI$10,"#")</f>
        <v>#NAME?</v>
      </c>
      <c r="AJ32" s="51"/>
      <c r="AK32" s="69" t="e">
        <f ca="1">_xll.GetCtData("CO-AMOUNT","CONS-AMOUNT",$A$1:$A$4,$A32:$B32,AK$5:AK$10,"#")</f>
        <v>#NAME?</v>
      </c>
      <c r="AL32" s="51"/>
      <c r="AM32" s="70" t="e">
        <f t="shared" ca="1" si="17"/>
        <v>#NAME?</v>
      </c>
      <c r="AN32" s="53"/>
      <c r="AO32" s="67" t="e">
        <f ca="1">_xll.GetCtData("CO-AMOUNT","CONS-AMOUNT",$A$1:$A$4,$A32:$B32,AO$5:AO$10,"#")</f>
        <v>#NAME?</v>
      </c>
      <c r="AP32" s="51"/>
      <c r="AQ32" s="69" t="e">
        <f ca="1">_xll.GetCtData("CO-AMOUNT","CONS-AMOUNT",$A$1:$A$4,$A32:$B32,AQ$5:AQ$10,"#")</f>
        <v>#NAME?</v>
      </c>
      <c r="AR32" s="51"/>
      <c r="AS32" s="70" t="e">
        <f t="shared" ca="1" si="18"/>
        <v>#NAME?</v>
      </c>
      <c r="AT32" s="53"/>
      <c r="AU32" s="67" t="e">
        <f t="shared" ca="1" si="24"/>
        <v>#NAME?</v>
      </c>
      <c r="AV32" s="51"/>
      <c r="AW32" s="69" t="e">
        <f t="shared" ca="1" si="25"/>
        <v>#NAME?</v>
      </c>
      <c r="AX32" s="51"/>
      <c r="AY32" s="70" t="e">
        <f t="shared" ca="1" si="19"/>
        <v>#NAME?</v>
      </c>
      <c r="BA32" s="67" t="e">
        <f t="shared" ca="1" si="20"/>
        <v>#NAME?</v>
      </c>
      <c r="BB32" s="51"/>
      <c r="BC32" s="69" t="e">
        <f t="shared" ca="1" si="21"/>
        <v>#NAME?</v>
      </c>
      <c r="BD32" s="51"/>
      <c r="BE32" s="70" t="e">
        <f t="shared" ca="1" si="26"/>
        <v>#NAME?</v>
      </c>
      <c r="BG32" s="67" t="e">
        <f ca="1">_xll.GetCtData("CO-AMOUNT","CONS-AMOUNT",$A$1:$A$4,$A32:$B32,BG$5:BG$10,"#")</f>
        <v>#NAME?</v>
      </c>
      <c r="BH32" s="51"/>
      <c r="BI32" s="69" t="e">
        <f ca="1">_xll.GetCtData("CO-AMOUNT","CONS-AMOUNT",$A$1:$A$4,$A32:$B32,BI$5:BI$10,"#")</f>
        <v>#NAME?</v>
      </c>
      <c r="BJ32" s="51"/>
      <c r="BK32" s="70" t="e">
        <f t="shared" ca="1" si="22"/>
        <v>#NAME?</v>
      </c>
      <c r="BL32" s="53"/>
      <c r="BN32" s="67" t="e">
        <f ca="1">_xll.GetCtData("CO-AMOUNT","CONS-AMOUNT",$A$1:$A$4,$A32:$B32,BN$5:BN$10,"#")</f>
        <v>#NAME?</v>
      </c>
      <c r="BO32" s="51"/>
      <c r="BP32" s="69" t="e">
        <f ca="1">_xll.GetCtData("CO-AMOUNT","CONS-AMOUNT",$A$1:$A$4,$A32:$B32,BP$5:BP$10,"#")</f>
        <v>#NAME?</v>
      </c>
      <c r="BQ32" s="51"/>
      <c r="BR32" s="70" t="e">
        <f t="shared" ca="1" si="23"/>
        <v>#NAME?</v>
      </c>
      <c r="BS32" s="53"/>
    </row>
    <row r="33" spans="1:71" s="65" customFormat="1" hidden="1" outlineLevel="1">
      <c r="A33" s="84" t="s">
        <v>291</v>
      </c>
      <c r="B33" s="85" t="s">
        <v>292</v>
      </c>
      <c r="C33" s="85" t="s">
        <v>262</v>
      </c>
      <c r="D33" s="74" t="str">
        <f>CHOOSE([6]Traduction!$A$2,[6]Traduction!$A54,[6]Traduction!$B54)</f>
        <v>o/w International Teams</v>
      </c>
      <c r="E33" s="67" t="e">
        <f ca="1">_xll.GetCtData("CO-AMOUNT","CONS-AMOUNT",$A$1:$A$4,$A33:$B33,E$5:E$10,"#96,35")</f>
        <v>#NAME?</v>
      </c>
      <c r="F33" s="68"/>
      <c r="G33" s="69" t="e">
        <f ca="1">_xll.GetCtData("CO-AMOUNT","CONS-AMOUNT",$A$1:$A$4,$A33:$B33,G$5:G$10,"#426,4")</f>
        <v>#NAME?</v>
      </c>
      <c r="H33" s="68"/>
      <c r="I33" s="70" t="e">
        <f t="shared" ca="1" si="12"/>
        <v>#NAME?</v>
      </c>
      <c r="J33" s="71"/>
      <c r="K33" s="67" t="e">
        <f ca="1">_xll.GetCtData("CO-AMOUNT","CONS-AMOUNT",$A$1:$A$4,$A33:$B33,K$5:K$10,"#-108,71")</f>
        <v>#NAME?</v>
      </c>
      <c r="L33" s="68"/>
      <c r="M33" s="69" t="e">
        <f ca="1">_xll.GetCtData("CO-AMOUNT","CONS-AMOUNT",$A$1:$A$4,$A33:$B33,M$5:M$10,"#-111,61")</f>
        <v>#NAME?</v>
      </c>
      <c r="N33" s="51"/>
      <c r="O33" s="70" t="e">
        <f t="shared" ca="1" si="13"/>
        <v>#NAME?</v>
      </c>
      <c r="P33" s="53"/>
      <c r="Q33" s="67" t="e">
        <f ca="1">_xll.GetCtData("CO-AMOUNT","CONS-AMOUNT",$A$1:$A$4,$A33:$B33,Q$5:Q$10,"#-12,36")</f>
        <v>#NAME?</v>
      </c>
      <c r="R33" s="51"/>
      <c r="S33" s="69" t="e">
        <f ca="1">_xll.GetCtData("CO-AMOUNT","CONS-AMOUNT",$A$1:$A$4,$A33:$B33,S$5:S$10,"#314,79")</f>
        <v>#NAME?</v>
      </c>
      <c r="T33" s="51"/>
      <c r="U33" s="70" t="e">
        <f t="shared" ca="1" si="14"/>
        <v>#NAME?</v>
      </c>
      <c r="V33" s="25"/>
      <c r="W33" s="67" t="e">
        <f ca="1">_xll.GetCtData("CO-AMOUNT","CONS-AMOUNT",$A$1:$A$4,$A33:$B33,W$5:W$10,"#")</f>
        <v>#NAME?</v>
      </c>
      <c r="X33" s="51"/>
      <c r="Y33" s="69" t="e">
        <f ca="1">_xll.GetCtData("CO-AMOUNT","CONS-AMOUNT",$A$1:$A$4,$A33:$B33,Y$5:Y$10,"#")</f>
        <v>#NAME?</v>
      </c>
      <c r="Z33" s="51"/>
      <c r="AA33" s="70" t="e">
        <f t="shared" ca="1" si="15"/>
        <v>#NAME?</v>
      </c>
      <c r="AB33" s="53"/>
      <c r="AC33" s="67" t="e">
        <f ca="1">_xll.GetCtData("CO-AMOUNT","CONS-AMOUNT",$A$1:$A$4,$A33:$B33,AC$5:AC$10,"#70,78")</f>
        <v>#NAME?</v>
      </c>
      <c r="AD33" s="51"/>
      <c r="AE33" s="69" t="e">
        <f ca="1">_xll.GetCtData("CO-AMOUNT","CONS-AMOUNT",$A$1:$A$4,$A33:$B33,AE$5:AE$10,"#67,77")</f>
        <v>#NAME?</v>
      </c>
      <c r="AF33" s="51"/>
      <c r="AG33" s="70" t="e">
        <f t="shared" ca="1" si="16"/>
        <v>#NAME?</v>
      </c>
      <c r="AH33" s="53"/>
      <c r="AI33" s="67" t="e">
        <f ca="1">_xll.GetCtData("CO-AMOUNT","CONS-AMOUNT",$A$1:$A$4,$A33:$B33,AI$5:AI$10,"#")</f>
        <v>#NAME?</v>
      </c>
      <c r="AJ33" s="51"/>
      <c r="AK33" s="69" t="e">
        <f ca="1">_xll.GetCtData("CO-AMOUNT","CONS-AMOUNT",$A$1:$A$4,$A33:$B33,AK$5:AK$10,"#")</f>
        <v>#NAME?</v>
      </c>
      <c r="AL33" s="51"/>
      <c r="AM33" s="70" t="e">
        <f t="shared" ca="1" si="17"/>
        <v>#NAME?</v>
      </c>
      <c r="AN33" s="53"/>
      <c r="AO33" s="67" t="e">
        <f ca="1">_xll.GetCtData("CO-AMOUNT","CONS-AMOUNT",$A$1:$A$4,$A33:$B33,AO$5:AO$10,"#")</f>
        <v>#NAME?</v>
      </c>
      <c r="AP33" s="51"/>
      <c r="AQ33" s="69" t="e">
        <f ca="1">_xll.GetCtData("CO-AMOUNT","CONS-AMOUNT",$A$1:$A$4,$A33:$B33,AQ$5:AQ$10,"#")</f>
        <v>#NAME?</v>
      </c>
      <c r="AR33" s="51"/>
      <c r="AS33" s="70" t="e">
        <f t="shared" ca="1" si="18"/>
        <v>#NAME?</v>
      </c>
      <c r="AT33" s="53"/>
      <c r="AU33" s="67" t="e">
        <f t="shared" ca="1" si="24"/>
        <v>#NAME?</v>
      </c>
      <c r="AV33" s="51"/>
      <c r="AW33" s="69" t="e">
        <f t="shared" ca="1" si="25"/>
        <v>#NAME?</v>
      </c>
      <c r="AX33" s="51"/>
      <c r="AY33" s="70" t="e">
        <f t="shared" ca="1" si="19"/>
        <v>#NAME?</v>
      </c>
      <c r="BA33" s="67" t="e">
        <f t="shared" ca="1" si="20"/>
        <v>#NAME?</v>
      </c>
      <c r="BB33" s="51"/>
      <c r="BC33" s="69" t="e">
        <f t="shared" ca="1" si="21"/>
        <v>#NAME?</v>
      </c>
      <c r="BD33" s="51"/>
      <c r="BE33" s="70" t="e">
        <f t="shared" ca="1" si="26"/>
        <v>#NAME?</v>
      </c>
      <c r="BG33" s="67" t="e">
        <f ca="1">_xll.GetCtData("CO-AMOUNT","CONS-AMOUNT",$A$1:$A$4,$A33:$B33,BG$5:BG$10,"#")</f>
        <v>#NAME?</v>
      </c>
      <c r="BH33" s="51"/>
      <c r="BI33" s="69" t="e">
        <f ca="1">_xll.GetCtData("CO-AMOUNT","CONS-AMOUNT",$A$1:$A$4,$A33:$B33,BI$5:BI$10,"#")</f>
        <v>#NAME?</v>
      </c>
      <c r="BJ33" s="51"/>
      <c r="BK33" s="70" t="e">
        <f t="shared" ca="1" si="22"/>
        <v>#NAME?</v>
      </c>
      <c r="BL33" s="53"/>
      <c r="BN33" s="67" t="e">
        <f ca="1">_xll.GetCtData("CO-AMOUNT","CONS-AMOUNT",$A$1:$A$4,$A33:$B33,BN$5:BN$10,"#")</f>
        <v>#NAME?</v>
      </c>
      <c r="BO33" s="51"/>
      <c r="BP33" s="69" t="e">
        <f ca="1">_xll.GetCtData("CO-AMOUNT","CONS-AMOUNT",$A$1:$A$4,$A33:$B33,BP$5:BP$10,"#")</f>
        <v>#NAME?</v>
      </c>
      <c r="BQ33" s="51"/>
      <c r="BR33" s="70" t="e">
        <f t="shared" ca="1" si="23"/>
        <v>#NAME?</v>
      </c>
      <c r="BS33" s="53"/>
    </row>
    <row r="34" spans="1:71" s="44" customFormat="1" hidden="1" outlineLevel="1">
      <c r="B34" s="65"/>
      <c r="C34" s="65"/>
      <c r="D34" s="86" t="s">
        <v>54</v>
      </c>
      <c r="E34" s="87" t="e">
        <f ca="1">SUM(E35:E46)-E44-E39-E40</f>
        <v>#NAME?</v>
      </c>
      <c r="F34" s="47"/>
      <c r="G34" s="88" t="e">
        <f ca="1">SUM(G35:G46)-G44-G39-G40</f>
        <v>#NAME?</v>
      </c>
      <c r="H34" s="47"/>
      <c r="I34" s="89" t="e">
        <f t="shared" ca="1" si="12"/>
        <v>#NAME?</v>
      </c>
      <c r="K34" s="87" t="e">
        <f ca="1">SUM(K35:K46)-K44-K39-K40</f>
        <v>#NAME?</v>
      </c>
      <c r="L34" s="47"/>
      <c r="M34" s="88" t="e">
        <f ca="1">SUM(M35:M46)-M44-M39-M40</f>
        <v>#NAME?</v>
      </c>
      <c r="N34" s="51"/>
      <c r="O34" s="52" t="e">
        <f t="shared" ca="1" si="13"/>
        <v>#NAME?</v>
      </c>
      <c r="P34" s="53"/>
      <c r="Q34" s="87" t="e">
        <f ca="1">SUM(Q35:Q46)-Q44-Q39-Q40</f>
        <v>#NAME?</v>
      </c>
      <c r="R34" s="47"/>
      <c r="S34" s="88" t="e">
        <f ca="1">SUM(S35:S46)-S44-S39-S40</f>
        <v>#NAME?</v>
      </c>
      <c r="T34" s="51"/>
      <c r="U34" s="89" t="e">
        <f t="shared" ca="1" si="14"/>
        <v>#NAME?</v>
      </c>
      <c r="V34" s="25"/>
      <c r="W34" s="87" t="e">
        <f ca="1">SUM(W35:W46)-W44</f>
        <v>#NAME?</v>
      </c>
      <c r="X34" s="47"/>
      <c r="Y34" s="88" t="e">
        <f ca="1">SUM(Y35:Y46)-Y44</f>
        <v>#NAME?</v>
      </c>
      <c r="Z34" s="51"/>
      <c r="AA34" s="89" t="e">
        <f t="shared" ca="1" si="15"/>
        <v>#NAME?</v>
      </c>
      <c r="AB34" s="53"/>
      <c r="AC34" s="87" t="e">
        <f ca="1">SUM(AC35:AC46)-AC44</f>
        <v>#NAME?</v>
      </c>
      <c r="AD34" s="47"/>
      <c r="AE34" s="88" t="e">
        <f ca="1">SUM(AE35:AE46)-AE44</f>
        <v>#NAME?</v>
      </c>
      <c r="AF34" s="51"/>
      <c r="AG34" s="89" t="e">
        <f t="shared" ca="1" si="16"/>
        <v>#NAME?</v>
      </c>
      <c r="AH34" s="53"/>
      <c r="AI34" s="87" t="e">
        <f ca="1">SUM(AI35:AI46)-AI44</f>
        <v>#NAME?</v>
      </c>
      <c r="AJ34" s="47"/>
      <c r="AK34" s="88" t="e">
        <f ca="1">SUM(AK35:AK46)-AK44</f>
        <v>#NAME?</v>
      </c>
      <c r="AL34" s="51"/>
      <c r="AM34" s="89" t="e">
        <f t="shared" ca="1" si="17"/>
        <v>#NAME?</v>
      </c>
      <c r="AN34" s="53"/>
      <c r="AO34" s="87" t="e">
        <f ca="1">SUM(AO35:AO46)-AO44</f>
        <v>#NAME?</v>
      </c>
      <c r="AP34" s="47"/>
      <c r="AQ34" s="88" t="e">
        <f ca="1">SUM(AQ35:AQ46)-AQ44</f>
        <v>#NAME?</v>
      </c>
      <c r="AR34" s="51"/>
      <c r="AS34" s="89" t="e">
        <f t="shared" ca="1" si="18"/>
        <v>#NAME?</v>
      </c>
      <c r="AT34" s="53"/>
      <c r="AU34" s="87" t="e">
        <f t="shared" ca="1" si="24"/>
        <v>#NAME?</v>
      </c>
      <c r="AV34" s="47"/>
      <c r="AW34" s="88" t="e">
        <f t="shared" ca="1" si="25"/>
        <v>#NAME?</v>
      </c>
      <c r="AX34" s="51"/>
      <c r="AY34" s="89" t="e">
        <f t="shared" ca="1" si="19"/>
        <v>#NAME?</v>
      </c>
      <c r="BA34" s="87" t="e">
        <f t="shared" ca="1" si="20"/>
        <v>#NAME?</v>
      </c>
      <c r="BB34" s="47"/>
      <c r="BC34" s="88" t="e">
        <f t="shared" ca="1" si="21"/>
        <v>#NAME?</v>
      </c>
      <c r="BD34" s="51"/>
      <c r="BE34" s="89" t="e">
        <f t="shared" ca="1" si="26"/>
        <v>#NAME?</v>
      </c>
      <c r="BG34" s="87" t="e">
        <f ca="1">SUM(BG35:BG46)-BG44</f>
        <v>#NAME?</v>
      </c>
      <c r="BH34" s="47"/>
      <c r="BI34" s="88" t="e">
        <f ca="1">SUM(BI35:BI46)-BI44</f>
        <v>#NAME?</v>
      </c>
      <c r="BJ34" s="51"/>
      <c r="BK34" s="89" t="e">
        <f t="shared" ca="1" si="22"/>
        <v>#NAME?</v>
      </c>
      <c r="BL34" s="53"/>
      <c r="BN34" s="87" t="e">
        <f ca="1">SUM(BN35:BN46)-BN44</f>
        <v>#NAME?</v>
      </c>
      <c r="BO34" s="47"/>
      <c r="BP34" s="88" t="e">
        <f ca="1">SUM(BP35:BP46)-BP44</f>
        <v>#NAME?</v>
      </c>
      <c r="BQ34" s="51"/>
      <c r="BR34" s="89" t="e">
        <f t="shared" ca="1" si="23"/>
        <v>#NAME?</v>
      </c>
      <c r="BS34" s="53"/>
    </row>
    <row r="35" spans="1:71" s="64" customFormat="1" ht="15" hidden="1" customHeight="1" collapsed="1">
      <c r="A35" s="54" t="s">
        <v>293</v>
      </c>
      <c r="B35" s="55" t="s">
        <v>261</v>
      </c>
      <c r="C35" s="55" t="s">
        <v>294</v>
      </c>
      <c r="D35" s="56" t="s">
        <v>263</v>
      </c>
      <c r="E35" s="57" t="e">
        <f ca="1">_xll.GetCtData("CO-AMOUNT","CONS-AMOUNT",$A$1:$A$4,$A35:$B35,E$5:E$10,"#")</f>
        <v>#NAME?</v>
      </c>
      <c r="F35" s="58"/>
      <c r="G35" s="59" t="e">
        <f ca="1">_xll.GetCtData("CO-AMOUNT","CONS-AMOUNT",$A$1:$A$4,$A35:$B35,G$5:G$10,"#")</f>
        <v>#NAME?</v>
      </c>
      <c r="H35" s="58"/>
      <c r="I35" s="90" t="e">
        <f t="shared" ca="1" si="12"/>
        <v>#NAME?</v>
      </c>
      <c r="J35" s="91"/>
      <c r="K35" s="57" t="e">
        <f ca="1">_xll.GetCtData("CO-AMOUNT","CONS-AMOUNT",$A$1:$A$4,$A35:$B35,K$5:K$10,"#")</f>
        <v>#NAME?</v>
      </c>
      <c r="L35" s="58"/>
      <c r="M35" s="59" t="e">
        <f ca="1">_xll.GetCtData("CO-AMOUNT","CONS-AMOUNT",$A$1:$A$4,$A35:$B35,M$5:M$10,"#")</f>
        <v>#NAME?</v>
      </c>
      <c r="N35" s="62"/>
      <c r="O35" s="89" t="e">
        <f t="shared" ca="1" si="13"/>
        <v>#NAME?</v>
      </c>
      <c r="P35" s="63"/>
      <c r="Q35" s="57" t="e">
        <f ca="1">_xll.GetCtData("CO-AMOUNT","CONS-AMOUNT",$A$1:$A$4,$A35:$B35,Q$5:Q$10,"#")</f>
        <v>#NAME?</v>
      </c>
      <c r="R35" s="62"/>
      <c r="S35" s="59" t="e">
        <f ca="1">_xll.GetCtData("CO-AMOUNT","CONS-AMOUNT",$A$1:$A$4,$A35:$B35,S$5:S$10,"#")</f>
        <v>#NAME?</v>
      </c>
      <c r="T35" s="62"/>
      <c r="U35" s="89" t="e">
        <f t="shared" ca="1" si="14"/>
        <v>#NAME?</v>
      </c>
      <c r="V35" s="25"/>
      <c r="W35" s="57" t="e">
        <f ca="1">_xll.GetCtData("CO-AMOUNT","CONS-AMOUNT",$A$1:$A$4,$A35:$B35,W$5:W$10,"#")</f>
        <v>#NAME?</v>
      </c>
      <c r="X35" s="62"/>
      <c r="Y35" s="59" t="e">
        <f ca="1">_xll.GetCtData("CO-AMOUNT","CONS-AMOUNT",$A$1:$A$4,$A35:$B35,Y$5:Y$10,"#")</f>
        <v>#NAME?</v>
      </c>
      <c r="Z35" s="62"/>
      <c r="AA35" s="70" t="e">
        <f t="shared" ca="1" si="15"/>
        <v>#NAME?</v>
      </c>
      <c r="AB35" s="63"/>
      <c r="AC35" s="57" t="e">
        <f ca="1">_xll.GetCtData("CO-AMOUNT","CONS-AMOUNT",$A$1:$A$4,$A35:$B35,AC$5:AC$10,"#")</f>
        <v>#NAME?</v>
      </c>
      <c r="AD35" s="62"/>
      <c r="AE35" s="59" t="e">
        <f ca="1">_xll.GetCtData("CO-AMOUNT","CONS-AMOUNT",$A$1:$A$4,$A35:$B35,AE$5:AE$10,"#")</f>
        <v>#NAME?</v>
      </c>
      <c r="AF35" s="62"/>
      <c r="AG35" s="70" t="e">
        <f t="shared" ca="1" si="16"/>
        <v>#NAME?</v>
      </c>
      <c r="AH35" s="63"/>
      <c r="AI35" s="57" t="e">
        <f ca="1">_xll.GetCtData("CO-AMOUNT","CONS-AMOUNT",$A$1:$A$4,$A35:$B35,AI$5:AI$10,"#")</f>
        <v>#NAME?</v>
      </c>
      <c r="AJ35" s="62"/>
      <c r="AK35" s="59" t="e">
        <f ca="1">_xll.GetCtData("CO-AMOUNT","CONS-AMOUNT",$A$1:$A$4,$A35:$B35,AK$5:AK$10,"#")</f>
        <v>#NAME?</v>
      </c>
      <c r="AL35" s="62"/>
      <c r="AM35" s="70" t="e">
        <f t="shared" ca="1" si="17"/>
        <v>#NAME?</v>
      </c>
      <c r="AN35" s="63"/>
      <c r="AO35" s="57" t="e">
        <f ca="1">_xll.GetCtData("CO-AMOUNT","CONS-AMOUNT",$A$1:$A$4,$A35:$B35,AO$5:AO$10,"#")</f>
        <v>#NAME?</v>
      </c>
      <c r="AP35" s="62"/>
      <c r="AQ35" s="59" t="e">
        <f ca="1">_xll.GetCtData("CO-AMOUNT","CONS-AMOUNT",$A$1:$A$4,$A35:$B35,AQ$5:AQ$10,"#")</f>
        <v>#NAME?</v>
      </c>
      <c r="AR35" s="62"/>
      <c r="AS35" s="70" t="e">
        <f t="shared" ca="1" si="18"/>
        <v>#NAME?</v>
      </c>
      <c r="AT35" s="63"/>
      <c r="AU35" s="57" t="e">
        <f t="shared" ca="1" si="24"/>
        <v>#NAME?</v>
      </c>
      <c r="AV35" s="62"/>
      <c r="AW35" s="59" t="e">
        <f t="shared" ca="1" si="25"/>
        <v>#NAME?</v>
      </c>
      <c r="AX35" s="62"/>
      <c r="AY35" s="70" t="e">
        <f t="shared" ca="1" si="19"/>
        <v>#NAME?</v>
      </c>
      <c r="BA35" s="57" t="e">
        <f t="shared" ca="1" si="20"/>
        <v>#NAME?</v>
      </c>
      <c r="BB35" s="62"/>
      <c r="BC35" s="59" t="e">
        <f t="shared" ca="1" si="21"/>
        <v>#NAME?</v>
      </c>
      <c r="BD35" s="62"/>
      <c r="BE35" s="70" t="e">
        <f t="shared" ca="1" si="26"/>
        <v>#NAME?</v>
      </c>
      <c r="BG35" s="57" t="e">
        <f ca="1">_xll.GetCtData("CO-AMOUNT","CONS-AMOUNT",$A$1:$A$4,$A35:$B35,BG$5:BG$10,"#")</f>
        <v>#NAME?</v>
      </c>
      <c r="BH35" s="62"/>
      <c r="BI35" s="59" t="e">
        <f ca="1">_xll.GetCtData("CO-AMOUNT","CONS-AMOUNT",$A$1:$A$4,$A35:$B35,BI$5:BI$10,"#")</f>
        <v>#NAME?</v>
      </c>
      <c r="BJ35" s="62"/>
      <c r="BK35" s="70" t="e">
        <f t="shared" ca="1" si="22"/>
        <v>#NAME?</v>
      </c>
      <c r="BL35" s="63"/>
      <c r="BN35" s="57" t="e">
        <f ca="1">_xll.GetCtData("CO-AMOUNT","CONS-AMOUNT",$A$1:$A$4,$A35:$B35,BN$5:BN$10,"#")</f>
        <v>#NAME?</v>
      </c>
      <c r="BO35" s="62"/>
      <c r="BP35" s="59" t="e">
        <f ca="1">_xll.GetCtData("CO-AMOUNT","CONS-AMOUNT",$A$1:$A$4,$A35:$B35,BP$5:BP$10,"#")</f>
        <v>#NAME?</v>
      </c>
      <c r="BQ35" s="62"/>
      <c r="BR35" s="70" t="e">
        <f t="shared" ca="1" si="23"/>
        <v>#NAME?</v>
      </c>
      <c r="BS35" s="63"/>
    </row>
    <row r="36" spans="1:71" s="65" customFormat="1" outlineLevel="1">
      <c r="A36" s="65" t="s">
        <v>295</v>
      </c>
      <c r="B36" s="65" t="s">
        <v>296</v>
      </c>
      <c r="C36" s="65" t="s">
        <v>283</v>
      </c>
      <c r="D36" s="92" t="str">
        <f>CHOOSE([6]Traduction!$A$2,[6]Traduction!$A62,[6]Traduction!$B62)</f>
        <v xml:space="preserve">o/w Coordination Team </v>
      </c>
      <c r="E36" s="67" t="e">
        <f ca="1">_xll.GetCtData("CO-AMOUNT","CONS-AMOUNT",$A$1:$A$4,$A36:$B36,E$5:E$10,"#1,00000000054479E-03")</f>
        <v>#NAME?</v>
      </c>
      <c r="F36" s="68"/>
      <c r="G36" s="69" t="e">
        <f ca="1">_xll.GetCtData("CO-AMOUNT","CONS-AMOUNT",$A$1:$A$4,$A36:$B36,G$5:G$10,"#-27,053")</f>
        <v>#NAME?</v>
      </c>
      <c r="H36" s="68"/>
      <c r="I36" s="70" t="e">
        <f t="shared" ca="1" si="12"/>
        <v>#NAME?</v>
      </c>
      <c r="J36" s="71"/>
      <c r="K36" s="67" t="e">
        <f ca="1">_xll.GetCtData("CO-AMOUNT","CONS-AMOUNT",$A$1:$A$4,$A36:$B36,K$5:K$10,"#-1,182")</f>
        <v>#NAME?</v>
      </c>
      <c r="L36" s="68"/>
      <c r="M36" s="69" t="e">
        <f ca="1">_xll.GetCtData("CO-AMOUNT","CONS-AMOUNT",$A$1:$A$4,$A36:$B36,M$5:M$10,"#-0,398")</f>
        <v>#NAME?</v>
      </c>
      <c r="N36" s="51"/>
      <c r="O36" s="70" t="e">
        <f t="shared" ca="1" si="13"/>
        <v>#NAME?</v>
      </c>
      <c r="P36" s="53"/>
      <c r="Q36" s="67" t="e">
        <f ca="1">_xll.GetCtData("CO-AMOUNT","CONS-AMOUNT",$A$1:$A$4,$A36:$B36,Q$5:Q$10,"#-1,18100000000015")</f>
        <v>#NAME?</v>
      </c>
      <c r="R36" s="51"/>
      <c r="S36" s="69" t="e">
        <f ca="1">_xll.GetCtData("CO-AMOUNT","CONS-AMOUNT",$A$1:$A$4,$A36:$B36,S$5:S$10,"#-27,451")</f>
        <v>#NAME?</v>
      </c>
      <c r="T36" s="51"/>
      <c r="U36" s="70" t="e">
        <f t="shared" ca="1" si="14"/>
        <v>#NAME?</v>
      </c>
      <c r="V36" s="25"/>
      <c r="W36" s="67" t="e">
        <f ca="1">_xll.GetCtData("CO-AMOUNT","CONS-AMOUNT",$A$1:$A$4,$A36:$B36,W$5:W$10,"#")</f>
        <v>#NAME?</v>
      </c>
      <c r="X36" s="51"/>
      <c r="Y36" s="69" t="e">
        <f ca="1">_xll.GetCtData("CO-AMOUNT","CONS-AMOUNT",$A$1:$A$4,$A36:$B36,Y$5:Y$10,"#")</f>
        <v>#NAME?</v>
      </c>
      <c r="Z36" s="51"/>
      <c r="AA36" s="70" t="e">
        <f t="shared" ca="1" si="15"/>
        <v>#NAME?</v>
      </c>
      <c r="AB36" s="53"/>
      <c r="AC36" s="67" t="e">
        <f ca="1">_xll.GetCtData("CO-AMOUNT","CONS-AMOUNT",$A$1:$A$4,$A36:$B36,AC$5:AC$10,"#")</f>
        <v>#NAME?</v>
      </c>
      <c r="AD36" s="51"/>
      <c r="AE36" s="69" t="e">
        <f ca="1">_xll.GetCtData("CO-AMOUNT","CONS-AMOUNT",$A$1:$A$4,$A36:$B36,AE$5:AE$10,"#")</f>
        <v>#NAME?</v>
      </c>
      <c r="AF36" s="51"/>
      <c r="AG36" s="70" t="e">
        <f t="shared" ca="1" si="16"/>
        <v>#NAME?</v>
      </c>
      <c r="AH36" s="53"/>
      <c r="AI36" s="67" t="e">
        <f ca="1">_xll.GetCtData("CO-AMOUNT","CONS-AMOUNT",$A$1:$A$4,$A36:$B36,AI$5:AI$10,"#")</f>
        <v>#NAME?</v>
      </c>
      <c r="AJ36" s="51"/>
      <c r="AK36" s="69" t="e">
        <f ca="1">_xll.GetCtData("CO-AMOUNT","CONS-AMOUNT",$A$1:$A$4,$A36:$B36,AK$5:AK$10,"#")</f>
        <v>#NAME?</v>
      </c>
      <c r="AL36" s="51"/>
      <c r="AM36" s="70" t="e">
        <f t="shared" ca="1" si="17"/>
        <v>#NAME?</v>
      </c>
      <c r="AN36" s="53"/>
      <c r="AO36" s="67" t="e">
        <f ca="1">_xll.GetCtData("CO-AMOUNT","CONS-AMOUNT",$A$1:$A$4,$A36:$B36,AO$5:AO$10,"#")</f>
        <v>#NAME?</v>
      </c>
      <c r="AP36" s="51"/>
      <c r="AQ36" s="69" t="e">
        <f ca="1">_xll.GetCtData("CO-AMOUNT","CONS-AMOUNT",$A$1:$A$4,$A36:$B36,AQ$5:AQ$10,"#")</f>
        <v>#NAME?</v>
      </c>
      <c r="AR36" s="51"/>
      <c r="AS36" s="70" t="e">
        <f t="shared" ca="1" si="18"/>
        <v>#NAME?</v>
      </c>
      <c r="AT36" s="53"/>
      <c r="AU36" s="67" t="e">
        <f t="shared" ca="1" si="24"/>
        <v>#NAME?</v>
      </c>
      <c r="AV36" s="51"/>
      <c r="AW36" s="69" t="e">
        <f t="shared" ca="1" si="25"/>
        <v>#NAME?</v>
      </c>
      <c r="AX36" s="51"/>
      <c r="AY36" s="70" t="e">
        <f t="shared" ca="1" si="19"/>
        <v>#NAME?</v>
      </c>
      <c r="BA36" s="67" t="e">
        <f t="shared" ca="1" si="20"/>
        <v>#NAME?</v>
      </c>
      <c r="BB36" s="51"/>
      <c r="BC36" s="69" t="e">
        <f t="shared" ca="1" si="21"/>
        <v>#NAME?</v>
      </c>
      <c r="BD36" s="51"/>
      <c r="BE36" s="70" t="e">
        <f t="shared" ca="1" si="26"/>
        <v>#NAME?</v>
      </c>
      <c r="BG36" s="67" t="e">
        <f ca="1">_xll.GetCtData("CO-AMOUNT","CONS-AMOUNT",$A$1:$A$4,$A36:$B36,BG$5:BG$10,"#")</f>
        <v>#NAME?</v>
      </c>
      <c r="BH36" s="51"/>
      <c r="BI36" s="69" t="e">
        <f ca="1">_xll.GetCtData("CO-AMOUNT","CONS-AMOUNT",$A$1:$A$4,$A36:$B36,BI$5:BI$10,"#")</f>
        <v>#NAME?</v>
      </c>
      <c r="BJ36" s="51"/>
      <c r="BK36" s="70" t="e">
        <f t="shared" ca="1" si="22"/>
        <v>#NAME?</v>
      </c>
      <c r="BL36" s="53"/>
      <c r="BN36" s="67" t="e">
        <f ca="1">_xll.GetCtData("CO-AMOUNT","CONS-AMOUNT",$A$1:$A$4,$A36:$B36,BN$5:BN$10,"#")</f>
        <v>#NAME?</v>
      </c>
      <c r="BO36" s="51"/>
      <c r="BP36" s="69" t="e">
        <f ca="1">_xll.GetCtData("CO-AMOUNT","CONS-AMOUNT",$A$1:$A$4,$A36:$B36,BP$5:BP$10,"#")</f>
        <v>#NAME?</v>
      </c>
      <c r="BQ36" s="51"/>
      <c r="BR36" s="70" t="e">
        <f t="shared" ca="1" si="23"/>
        <v>#NAME?</v>
      </c>
      <c r="BS36" s="53"/>
    </row>
    <row r="37" spans="1:71" s="65" customFormat="1" outlineLevel="1">
      <c r="A37" s="65" t="s">
        <v>297</v>
      </c>
      <c r="B37" s="65" t="s">
        <v>267</v>
      </c>
      <c r="C37" s="65" t="s">
        <v>262</v>
      </c>
      <c r="D37" s="92" t="str">
        <f>CHOOSE([6]Traduction!$A$2,[6]Traduction!$A45,[6]Traduction!$B45)</f>
        <v>o/w France</v>
      </c>
      <c r="E37" s="67" t="e">
        <f ca="1">_xll.GetCtData("CO-AMOUNT","CONS-AMOUNT",$A$1:$A$4,$A37:$B37,E$5:E$10,"#-1,99999999995271E-03")</f>
        <v>#NAME?</v>
      </c>
      <c r="F37" s="68"/>
      <c r="G37" s="69" t="e">
        <f ca="1">_xll.GetCtData("CO-AMOUNT","CONS-AMOUNT",$A$1:$A$4,$A37:$B37,G$5:G$10,"#")</f>
        <v>#NAME?</v>
      </c>
      <c r="H37" s="68"/>
      <c r="I37" s="70" t="e">
        <f t="shared" ca="1" si="12"/>
        <v>#NAME?</v>
      </c>
      <c r="J37" s="71"/>
      <c r="K37" s="67" t="e">
        <f ca="1">_xll.GetCtData("CO-AMOUNT","CONS-AMOUNT",$A$1:$A$4,$A37:$B37,K$5:K$10,"#")</f>
        <v>#NAME?</v>
      </c>
      <c r="L37" s="68"/>
      <c r="M37" s="69" t="e">
        <f ca="1">_xll.GetCtData("CO-AMOUNT","CONS-AMOUNT",$A$1:$A$4,$A37:$B37,M$5:M$10,"#")</f>
        <v>#NAME?</v>
      </c>
      <c r="N37" s="51"/>
      <c r="O37" s="70" t="e">
        <f t="shared" ca="1" si="13"/>
        <v>#NAME?</v>
      </c>
      <c r="P37" s="53"/>
      <c r="Q37" s="67" t="e">
        <f ca="1">_xll.GetCtData("CO-AMOUNT","CONS-AMOUNT",$A$1:$A$4,$A37:$B37,Q$5:Q$10,"#-1,99999999995271E-03")</f>
        <v>#NAME?</v>
      </c>
      <c r="R37" s="51"/>
      <c r="S37" s="69" t="e">
        <f ca="1">_xll.GetCtData("CO-AMOUNT","CONS-AMOUNT",$A$1:$A$4,$A37:$B37,S$5:S$10,"#")</f>
        <v>#NAME?</v>
      </c>
      <c r="T37" s="51"/>
      <c r="U37" s="70" t="e">
        <f t="shared" ca="1" si="14"/>
        <v>#NAME?</v>
      </c>
      <c r="V37" s="25"/>
      <c r="W37" s="67" t="e">
        <f ca="1">_xll.GetCtData("CO-AMOUNT","CONS-AMOUNT",$A$1:$A$4,$A37:$B37,W$5:W$10,"#")</f>
        <v>#NAME?</v>
      </c>
      <c r="X37" s="51"/>
      <c r="Y37" s="69" t="e">
        <f ca="1">_xll.GetCtData("CO-AMOUNT","CONS-AMOUNT",$A$1:$A$4,$A37:$B37,Y$5:Y$10,"#")</f>
        <v>#NAME?</v>
      </c>
      <c r="Z37" s="51"/>
      <c r="AA37" s="70" t="e">
        <f t="shared" ca="1" si="15"/>
        <v>#NAME?</v>
      </c>
      <c r="AB37" s="53"/>
      <c r="AC37" s="67" t="e">
        <f ca="1">_xll.GetCtData("CO-AMOUNT","CONS-AMOUNT",$A$1:$A$4,$A37:$B37,AC$5:AC$10,"#")</f>
        <v>#NAME?</v>
      </c>
      <c r="AD37" s="51"/>
      <c r="AE37" s="69" t="e">
        <f ca="1">_xll.GetCtData("CO-AMOUNT","CONS-AMOUNT",$A$1:$A$4,$A37:$B37,AE$5:AE$10,"#")</f>
        <v>#NAME?</v>
      </c>
      <c r="AF37" s="51"/>
      <c r="AG37" s="70" t="e">
        <f t="shared" ca="1" si="16"/>
        <v>#NAME?</v>
      </c>
      <c r="AH37" s="53"/>
      <c r="AI37" s="67" t="e">
        <f ca="1">_xll.GetCtData("CO-AMOUNT","CONS-AMOUNT",$A$1:$A$4,$A37:$B37,AI$5:AI$10,"#")</f>
        <v>#NAME?</v>
      </c>
      <c r="AJ37" s="51"/>
      <c r="AK37" s="69" t="e">
        <f ca="1">_xll.GetCtData("CO-AMOUNT","CONS-AMOUNT",$A$1:$A$4,$A37:$B37,AK$5:AK$10,"#")</f>
        <v>#NAME?</v>
      </c>
      <c r="AL37" s="51"/>
      <c r="AM37" s="70" t="e">
        <f t="shared" ca="1" si="17"/>
        <v>#NAME?</v>
      </c>
      <c r="AN37" s="53"/>
      <c r="AO37" s="67" t="e">
        <f ca="1">_xll.GetCtData("CO-AMOUNT","CONS-AMOUNT",$A$1:$A$4,$A37:$B37,AO$5:AO$10,"#")</f>
        <v>#NAME?</v>
      </c>
      <c r="AP37" s="51"/>
      <c r="AQ37" s="69" t="e">
        <f ca="1">_xll.GetCtData("CO-AMOUNT","CONS-AMOUNT",$A$1:$A$4,$A37:$B37,AQ$5:AQ$10,"#")</f>
        <v>#NAME?</v>
      </c>
      <c r="AR37" s="51"/>
      <c r="AS37" s="70" t="e">
        <f t="shared" ca="1" si="18"/>
        <v>#NAME?</v>
      </c>
      <c r="AT37" s="53"/>
      <c r="AU37" s="67" t="e">
        <f t="shared" ca="1" si="24"/>
        <v>#NAME?</v>
      </c>
      <c r="AV37" s="51"/>
      <c r="AW37" s="69" t="e">
        <f t="shared" ca="1" si="25"/>
        <v>#NAME?</v>
      </c>
      <c r="AX37" s="51"/>
      <c r="AY37" s="70" t="e">
        <f t="shared" ca="1" si="19"/>
        <v>#NAME?</v>
      </c>
      <c r="BA37" s="67" t="e">
        <f t="shared" ca="1" si="20"/>
        <v>#NAME?</v>
      </c>
      <c r="BB37" s="51"/>
      <c r="BC37" s="69" t="e">
        <f t="shared" ca="1" si="21"/>
        <v>#NAME?</v>
      </c>
      <c r="BD37" s="51"/>
      <c r="BE37" s="70" t="e">
        <f t="shared" ca="1" si="26"/>
        <v>#NAME?</v>
      </c>
      <c r="BG37" s="67" t="e">
        <f ca="1">_xll.GetCtData("CO-AMOUNT","CONS-AMOUNT",$A$1:$A$4,$A37:$B37,BG$5:BG$10,"#")</f>
        <v>#NAME?</v>
      </c>
      <c r="BH37" s="51"/>
      <c r="BI37" s="69" t="e">
        <f ca="1">_xll.GetCtData("CO-AMOUNT","CONS-AMOUNT",$A$1:$A$4,$A37:$B37,BI$5:BI$10,"#")</f>
        <v>#NAME?</v>
      </c>
      <c r="BJ37" s="51"/>
      <c r="BK37" s="70" t="e">
        <f t="shared" ca="1" si="22"/>
        <v>#NAME?</v>
      </c>
      <c r="BL37" s="53"/>
      <c r="BN37" s="67" t="e">
        <f ca="1">_xll.GetCtData("CO-AMOUNT","CONS-AMOUNT",$A$1:$A$4,$A37:$B37,BN$5:BN$10,"#")</f>
        <v>#NAME?</v>
      </c>
      <c r="BO37" s="51"/>
      <c r="BP37" s="69" t="e">
        <f ca="1">_xll.GetCtData("CO-AMOUNT","CONS-AMOUNT",$A$1:$A$4,$A37:$B37,BP$5:BP$10,"#")</f>
        <v>#NAME?</v>
      </c>
      <c r="BQ37" s="51"/>
      <c r="BR37" s="70" t="e">
        <f t="shared" ca="1" si="23"/>
        <v>#NAME?</v>
      </c>
      <c r="BS37" s="53"/>
    </row>
    <row r="38" spans="1:71" s="65" customFormat="1" ht="15" customHeight="1" outlineLevel="1">
      <c r="A38" s="65" t="s">
        <v>298</v>
      </c>
      <c r="B38" s="65" t="s">
        <v>299</v>
      </c>
      <c r="C38" s="65" t="s">
        <v>283</v>
      </c>
      <c r="D38" s="92" t="str">
        <f>CHOOSE([6]Traduction!$A$2,[6]Traduction!$A49,[6]Traduction!$B49)</f>
        <v>o/w Germany</v>
      </c>
      <c r="E38" s="67" t="e">
        <f ca="1">_xll.GetCtData("CO-AMOUNT","CONS-AMOUNT",$A$1:$A$4,$A38:$B38,E$5:E$10,"#0")</f>
        <v>#NAME?</v>
      </c>
      <c r="F38" s="68"/>
      <c r="G38" s="69" t="e">
        <f ca="1">_xll.GetCtData("CO-AMOUNT","CONS-AMOUNT",$A$1:$A$4,$A38:$B38,G$5:G$10,"#")</f>
        <v>#NAME?</v>
      </c>
      <c r="H38" s="93"/>
      <c r="I38" s="90" t="e">
        <f t="shared" ca="1" si="12"/>
        <v>#NAME?</v>
      </c>
      <c r="J38" s="71"/>
      <c r="K38" s="67" t="e">
        <f ca="1">_xll.GetCtData("CO-AMOUNT","CONS-AMOUNT",$A$1:$A$4,$A38:$B38,K$5:K$10,"#")</f>
        <v>#NAME?</v>
      </c>
      <c r="L38" s="68"/>
      <c r="M38" s="69" t="e">
        <f ca="1">_xll.GetCtData("CO-AMOUNT","CONS-AMOUNT",$A$1:$A$4,$A38:$B38,M$5:M$10,"#")</f>
        <v>#NAME?</v>
      </c>
      <c r="N38" s="51"/>
      <c r="O38" s="90" t="e">
        <f t="shared" ca="1" si="13"/>
        <v>#NAME?</v>
      </c>
      <c r="P38" s="53"/>
      <c r="Q38" s="67" t="e">
        <f ca="1">_xll.GetCtData("CO-AMOUNT","CONS-AMOUNT",$A$1:$A$4,$A38:$B38,Q$5:Q$10,"#0")</f>
        <v>#NAME?</v>
      </c>
      <c r="R38" s="51"/>
      <c r="S38" s="69" t="e">
        <f ca="1">_xll.GetCtData("CO-AMOUNT","CONS-AMOUNT",$A$1:$A$4,$A38:$B38,S$5:S$10,"#")</f>
        <v>#NAME?</v>
      </c>
      <c r="T38" s="51"/>
      <c r="U38" s="90" t="e">
        <f t="shared" ca="1" si="14"/>
        <v>#NAME?</v>
      </c>
      <c r="V38" s="25"/>
      <c r="W38" s="67" t="e">
        <f ca="1">_xll.GetCtData("CO-AMOUNT","CONS-AMOUNT",$A$1:$A$4,$A38:$B38,W$5:W$10,"#")</f>
        <v>#NAME?</v>
      </c>
      <c r="X38" s="51"/>
      <c r="Y38" s="69" t="e">
        <f ca="1">_xll.GetCtData("CO-AMOUNT","CONS-AMOUNT",$A$1:$A$4,$A38:$B38,Y$5:Y$10,"#")</f>
        <v>#NAME?</v>
      </c>
      <c r="Z38" s="51"/>
      <c r="AA38" s="70" t="e">
        <f t="shared" ca="1" si="15"/>
        <v>#NAME?</v>
      </c>
      <c r="AB38" s="53"/>
      <c r="AC38" s="67" t="e">
        <f ca="1">_xll.GetCtData("CO-AMOUNT","CONS-AMOUNT",$A$1:$A$4,$A38:$B38,AC$5:AC$10,"#")</f>
        <v>#NAME?</v>
      </c>
      <c r="AD38" s="51"/>
      <c r="AE38" s="69" t="e">
        <f ca="1">_xll.GetCtData("CO-AMOUNT","CONS-AMOUNT",$A$1:$A$4,$A38:$B38,AE$5:AE$10,"#")</f>
        <v>#NAME?</v>
      </c>
      <c r="AF38" s="51"/>
      <c r="AG38" s="70" t="e">
        <f t="shared" ca="1" si="16"/>
        <v>#NAME?</v>
      </c>
      <c r="AH38" s="53"/>
      <c r="AI38" s="67" t="e">
        <f ca="1">_xll.GetCtData("CO-AMOUNT","CONS-AMOUNT",$A$1:$A$4,$A38:$B38,AI$5:AI$10,"#")</f>
        <v>#NAME?</v>
      </c>
      <c r="AJ38" s="51"/>
      <c r="AK38" s="69" t="e">
        <f ca="1">_xll.GetCtData("CO-AMOUNT","CONS-AMOUNT",$A$1:$A$4,$A38:$B38,AK$5:AK$10,"#")</f>
        <v>#NAME?</v>
      </c>
      <c r="AL38" s="51"/>
      <c r="AM38" s="70" t="e">
        <f t="shared" ca="1" si="17"/>
        <v>#NAME?</v>
      </c>
      <c r="AN38" s="53"/>
      <c r="AO38" s="67" t="e">
        <f ca="1">_xll.GetCtData("CO-AMOUNT","CONS-AMOUNT",$A$1:$A$4,$A38:$B38,AO$5:AO$10,"#")</f>
        <v>#NAME?</v>
      </c>
      <c r="AP38" s="51"/>
      <c r="AQ38" s="69" t="e">
        <f ca="1">_xll.GetCtData("CO-AMOUNT","CONS-AMOUNT",$A$1:$A$4,$A38:$B38,AQ$5:AQ$10,"#")</f>
        <v>#NAME?</v>
      </c>
      <c r="AR38" s="51"/>
      <c r="AS38" s="70" t="e">
        <f t="shared" ca="1" si="18"/>
        <v>#NAME?</v>
      </c>
      <c r="AT38" s="53"/>
      <c r="AU38" s="67" t="e">
        <f t="shared" ca="1" si="24"/>
        <v>#NAME?</v>
      </c>
      <c r="AV38" s="51"/>
      <c r="AW38" s="69" t="e">
        <f t="shared" ca="1" si="25"/>
        <v>#NAME?</v>
      </c>
      <c r="AX38" s="51"/>
      <c r="AY38" s="70" t="e">
        <f t="shared" ca="1" si="19"/>
        <v>#NAME?</v>
      </c>
      <c r="BA38" s="67" t="e">
        <f t="shared" ca="1" si="20"/>
        <v>#NAME?</v>
      </c>
      <c r="BB38" s="51"/>
      <c r="BC38" s="69" t="e">
        <f t="shared" ca="1" si="21"/>
        <v>#NAME?</v>
      </c>
      <c r="BD38" s="51"/>
      <c r="BE38" s="94" t="e">
        <f t="shared" ca="1" si="26"/>
        <v>#NAME?</v>
      </c>
      <c r="BG38" s="67" t="e">
        <f ca="1">_xll.GetCtData("CO-AMOUNT","CONS-AMOUNT",$A$1:$A$4,$A38:$B38,BG$5:BG$10,"#")</f>
        <v>#NAME?</v>
      </c>
      <c r="BH38" s="51"/>
      <c r="BI38" s="69" t="e">
        <f ca="1">_xll.GetCtData("CO-AMOUNT","CONS-AMOUNT",$A$1:$A$4,$A38:$B38,BI$5:BI$10,"#")</f>
        <v>#NAME?</v>
      </c>
      <c r="BJ38" s="51"/>
      <c r="BK38" s="70" t="e">
        <f t="shared" ca="1" si="22"/>
        <v>#NAME?</v>
      </c>
      <c r="BL38" s="53"/>
      <c r="BN38" s="67" t="e">
        <f ca="1">_xll.GetCtData("CO-AMOUNT","CONS-AMOUNT",$A$1:$A$4,$A38:$B38,BN$5:BN$10,"#")</f>
        <v>#NAME?</v>
      </c>
      <c r="BO38" s="51"/>
      <c r="BP38" s="69" t="e">
        <f ca="1">_xll.GetCtData("CO-AMOUNT","CONS-AMOUNT",$A$1:$A$4,$A38:$B38,BP$5:BP$10,"#")</f>
        <v>#NAME?</v>
      </c>
      <c r="BQ38" s="51"/>
      <c r="BR38" s="70" t="e">
        <f t="shared" ca="1" si="23"/>
        <v>#NAME?</v>
      </c>
      <c r="BS38" s="53"/>
    </row>
    <row r="39" spans="1:71" s="65" customFormat="1" ht="15" customHeight="1" outlineLevel="1">
      <c r="A39" s="65" t="s">
        <v>300</v>
      </c>
      <c r="B39" s="65" t="s">
        <v>301</v>
      </c>
      <c r="C39" s="65" t="s">
        <v>278</v>
      </c>
      <c r="D39" s="74" t="s">
        <v>302</v>
      </c>
      <c r="E39" s="67" t="e">
        <f ca="1">_xll.GetCtData("CO-AMOUNT","CONS-AMOUNT",$A$1:$A$4,$A39:$B39,E$5:E$10,"#")</f>
        <v>#NAME?</v>
      </c>
      <c r="F39" s="68"/>
      <c r="G39" s="69" t="e">
        <f ca="1">_xll.GetCtData("CO-AMOUNT","CONS-AMOUNT",$A$1:$A$4,$A39:$B39,G$5:G$10,"#")</f>
        <v>#NAME?</v>
      </c>
      <c r="H39" s="68"/>
      <c r="I39" s="70" t="e">
        <f t="shared" ca="1" si="12"/>
        <v>#NAME?</v>
      </c>
      <c r="J39" s="71"/>
      <c r="K39" s="67" t="e">
        <f ca="1">_xll.GetCtData("CO-AMOUNT","CONS-AMOUNT",$A$1:$A$4,$A39:$B39,K$5:K$10,"#")</f>
        <v>#NAME?</v>
      </c>
      <c r="L39" s="68"/>
      <c r="M39" s="69" t="e">
        <f ca="1">_xll.GetCtData("CO-AMOUNT","CONS-AMOUNT",$A$1:$A$4,$A39:$B39,M$5:M$10,"#")</f>
        <v>#NAME?</v>
      </c>
      <c r="N39" s="51"/>
      <c r="O39" s="70" t="e">
        <f t="shared" ca="1" si="13"/>
        <v>#NAME?</v>
      </c>
      <c r="P39" s="53"/>
      <c r="Q39" s="67" t="e">
        <f ca="1">_xll.GetCtData("CO-AMOUNT","CONS-AMOUNT",$A$1:$A$4,$A39:$B39,Q$5:Q$10,"#")</f>
        <v>#NAME?</v>
      </c>
      <c r="R39" s="51"/>
      <c r="S39" s="69" t="e">
        <f ca="1">_xll.GetCtData("CO-AMOUNT","CONS-AMOUNT",$A$1:$A$4,$A39:$B39,S$5:S$10,"#")</f>
        <v>#NAME?</v>
      </c>
      <c r="T39" s="51"/>
      <c r="U39" s="70" t="e">
        <f t="shared" ca="1" si="14"/>
        <v>#NAME?</v>
      </c>
      <c r="V39" s="25"/>
      <c r="W39" s="67" t="e">
        <f ca="1">_xll.GetCtData("CO-AMOUNT","CONS-AMOUNT",$A$1:$A$4,$A39:$B39,W$5:W$10,"#")</f>
        <v>#NAME?</v>
      </c>
      <c r="X39" s="51"/>
      <c r="Y39" s="69" t="e">
        <f ca="1">_xll.GetCtData("CO-AMOUNT","CONS-AMOUNT",$A$1:$A$4,$A39:$B39,Y$5:Y$10,"#")</f>
        <v>#NAME?</v>
      </c>
      <c r="Z39" s="51"/>
      <c r="AA39" s="70" t="e">
        <f t="shared" ca="1" si="15"/>
        <v>#NAME?</v>
      </c>
      <c r="AB39" s="53"/>
      <c r="AC39" s="67" t="e">
        <f ca="1">_xll.GetCtData("CO-AMOUNT","CONS-AMOUNT",$A$1:$A$4,$A39:$B39,AC$5:AC$10,"#")</f>
        <v>#NAME?</v>
      </c>
      <c r="AD39" s="51"/>
      <c r="AE39" s="69" t="e">
        <f ca="1">_xll.GetCtData("CO-AMOUNT","CONS-AMOUNT",$A$1:$A$4,$A39:$B39,AE$5:AE$10,"#")</f>
        <v>#NAME?</v>
      </c>
      <c r="AF39" s="51"/>
      <c r="AG39" s="70" t="e">
        <f t="shared" ca="1" si="16"/>
        <v>#NAME?</v>
      </c>
      <c r="AH39" s="53"/>
      <c r="AI39" s="67" t="e">
        <f ca="1">_xll.GetCtData("CO-AMOUNT","CONS-AMOUNT",$A$1:$A$4,$A39:$B39,AI$5:AI$10,"#")</f>
        <v>#NAME?</v>
      </c>
      <c r="AJ39" s="51"/>
      <c r="AK39" s="69" t="e">
        <f ca="1">_xll.GetCtData("CO-AMOUNT","CONS-AMOUNT",$A$1:$A$4,$A39:$B39,AK$5:AK$10,"#")</f>
        <v>#NAME?</v>
      </c>
      <c r="AL39" s="51"/>
      <c r="AM39" s="70" t="e">
        <f t="shared" ca="1" si="17"/>
        <v>#NAME?</v>
      </c>
      <c r="AN39" s="53"/>
      <c r="AO39" s="67" t="e">
        <f ca="1">_xll.GetCtData("CO-AMOUNT","CONS-AMOUNT",$A$1:$A$4,$A39:$B39,AO$5:AO$10,"#")</f>
        <v>#NAME?</v>
      </c>
      <c r="AP39" s="51"/>
      <c r="AQ39" s="69" t="e">
        <f ca="1">_xll.GetCtData("CO-AMOUNT","CONS-AMOUNT",$A$1:$A$4,$A39:$B39,AQ$5:AQ$10,"#")</f>
        <v>#NAME?</v>
      </c>
      <c r="AR39" s="51"/>
      <c r="AS39" s="70" t="e">
        <f t="shared" ca="1" si="18"/>
        <v>#NAME?</v>
      </c>
      <c r="AT39" s="53"/>
      <c r="AU39" s="67" t="e">
        <f t="shared" ca="1" si="24"/>
        <v>#NAME?</v>
      </c>
      <c r="AV39" s="51"/>
      <c r="AW39" s="69" t="e">
        <f t="shared" ca="1" si="25"/>
        <v>#NAME?</v>
      </c>
      <c r="AX39" s="51"/>
      <c r="AY39" s="70" t="e">
        <f t="shared" ca="1" si="19"/>
        <v>#NAME?</v>
      </c>
      <c r="BA39" s="67" t="e">
        <f t="shared" ca="1" si="20"/>
        <v>#NAME?</v>
      </c>
      <c r="BB39" s="51"/>
      <c r="BC39" s="69" t="e">
        <f t="shared" ca="1" si="21"/>
        <v>#NAME?</v>
      </c>
      <c r="BD39" s="51"/>
      <c r="BE39" s="70" t="e">
        <f t="shared" ca="1" si="26"/>
        <v>#NAME?</v>
      </c>
      <c r="BG39" s="67" t="e">
        <f ca="1">_xll.GetCtData("CO-AMOUNT","CONS-AMOUNT",$A$1:$A$4,$A39:$B39,BG$5:BG$10,"#")</f>
        <v>#NAME?</v>
      </c>
      <c r="BH39" s="51"/>
      <c r="BI39" s="69" t="e">
        <f ca="1">_xll.GetCtData("CO-AMOUNT","CONS-AMOUNT",$A$1:$A$4,$A39:$B39,BI$5:BI$10,"#")</f>
        <v>#NAME?</v>
      </c>
      <c r="BJ39" s="51"/>
      <c r="BK39" s="70" t="e">
        <f t="shared" ca="1" si="22"/>
        <v>#NAME?</v>
      </c>
      <c r="BL39" s="53"/>
      <c r="BN39" s="67" t="e">
        <f ca="1">_xll.GetCtData("CO-AMOUNT","CONS-AMOUNT",$A$1:$A$4,$A39:$B39,BN$5:BN$10,"#")</f>
        <v>#NAME?</v>
      </c>
      <c r="BO39" s="51"/>
      <c r="BP39" s="69" t="e">
        <f ca="1">_xll.GetCtData("CO-AMOUNT","CONS-AMOUNT",$A$1:$A$4,$A39:$B39,BP$5:BP$10,"#")</f>
        <v>#NAME?</v>
      </c>
      <c r="BQ39" s="51"/>
      <c r="BR39" s="70" t="e">
        <f t="shared" ca="1" si="23"/>
        <v>#NAME?</v>
      </c>
      <c r="BS39" s="53"/>
    </row>
    <row r="40" spans="1:71" s="65" customFormat="1" ht="15" customHeight="1" outlineLevel="1">
      <c r="A40" s="65" t="s">
        <v>303</v>
      </c>
      <c r="B40" s="65" t="s">
        <v>277</v>
      </c>
      <c r="C40" s="65" t="s">
        <v>278</v>
      </c>
      <c r="D40" s="74" t="s">
        <v>304</v>
      </c>
      <c r="E40" s="67" t="e">
        <f ca="1">_xll.GetCtData("CO-AMOUNT","CONS-AMOUNT",$A$1:$A$4,$A40:$B40,E$5:E$10,"#")</f>
        <v>#NAME?</v>
      </c>
      <c r="F40" s="68"/>
      <c r="G40" s="69" t="e">
        <f ca="1">_xll.GetCtData("CO-AMOUNT","CONS-AMOUNT",$A$1:$A$4,$A40:$B40,G$5:G$10,"#")</f>
        <v>#NAME?</v>
      </c>
      <c r="H40" s="68"/>
      <c r="I40" s="70" t="e">
        <f t="shared" ca="1" si="12"/>
        <v>#NAME?</v>
      </c>
      <c r="J40" s="71"/>
      <c r="K40" s="67" t="e">
        <f ca="1">_xll.GetCtData("CO-AMOUNT","CONS-AMOUNT",$A$1:$A$4,$A40:$B40,K$5:K$10,"#-2,00000000001666E-03")</f>
        <v>#NAME?</v>
      </c>
      <c r="L40" s="68"/>
      <c r="M40" s="69" t="e">
        <f ca="1">_xll.GetCtData("CO-AMOUNT","CONS-AMOUNT",$A$1:$A$4,$A40:$B40,M$5:M$10,"#0,12700000000001")</f>
        <v>#NAME?</v>
      </c>
      <c r="N40" s="51"/>
      <c r="O40" s="70" t="e">
        <f t="shared" ca="1" si="13"/>
        <v>#NAME?</v>
      </c>
      <c r="P40" s="53"/>
      <c r="Q40" s="67" t="e">
        <f ca="1">_xll.GetCtData("CO-AMOUNT","CONS-AMOUNT",$A$1:$A$4,$A40:$B40,Q$5:Q$10,"#-2,00000000001799E-03")</f>
        <v>#NAME?</v>
      </c>
      <c r="R40" s="51"/>
      <c r="S40" s="69" t="e">
        <f ca="1">_xll.GetCtData("CO-AMOUNT","CONS-AMOUNT",$A$1:$A$4,$A40:$B40,S$5:S$10,"#0,12700000000001")</f>
        <v>#NAME?</v>
      </c>
      <c r="T40" s="51"/>
      <c r="U40" s="70" t="e">
        <f t="shared" ca="1" si="14"/>
        <v>#NAME?</v>
      </c>
      <c r="V40" s="25"/>
      <c r="W40" s="67"/>
      <c r="X40" s="51"/>
      <c r="Y40" s="69"/>
      <c r="Z40" s="51"/>
      <c r="AA40" s="94"/>
      <c r="AB40" s="53"/>
      <c r="AC40" s="67"/>
      <c r="AD40" s="51"/>
      <c r="AE40" s="69"/>
      <c r="AF40" s="51"/>
      <c r="AG40" s="94"/>
      <c r="AH40" s="53"/>
      <c r="AI40" s="67"/>
      <c r="AJ40" s="51"/>
      <c r="AK40" s="69"/>
      <c r="AL40" s="51"/>
      <c r="AM40" s="94"/>
      <c r="AN40" s="53"/>
      <c r="AO40" s="67"/>
      <c r="AP40" s="51"/>
      <c r="AQ40" s="69"/>
      <c r="AR40" s="51"/>
      <c r="AS40" s="94"/>
      <c r="AT40" s="53"/>
      <c r="AU40" s="67"/>
      <c r="AV40" s="51"/>
      <c r="AW40" s="69"/>
      <c r="AX40" s="51"/>
      <c r="AY40" s="94"/>
      <c r="BA40" s="67"/>
      <c r="BB40" s="51"/>
      <c r="BC40" s="69"/>
      <c r="BD40" s="51"/>
      <c r="BE40" s="94"/>
      <c r="BG40" s="67"/>
      <c r="BH40" s="51"/>
      <c r="BI40" s="69"/>
      <c r="BJ40" s="51"/>
      <c r="BK40" s="94"/>
      <c r="BL40" s="53"/>
      <c r="BN40" s="67"/>
      <c r="BO40" s="51"/>
      <c r="BP40" s="69"/>
      <c r="BQ40" s="51"/>
      <c r="BR40" s="94"/>
      <c r="BS40" s="53"/>
    </row>
    <row r="41" spans="1:71" s="65" customFormat="1" ht="15" customHeight="1" outlineLevel="1">
      <c r="C41" s="65" t="s">
        <v>278</v>
      </c>
      <c r="D41" s="92" t="s">
        <v>305</v>
      </c>
      <c r="E41" s="67" t="e">
        <f ca="1">E39+E40</f>
        <v>#NAME?</v>
      </c>
      <c r="F41" s="68"/>
      <c r="G41" s="69" t="e">
        <f ca="1">G39+G40</f>
        <v>#NAME?</v>
      </c>
      <c r="H41" s="68"/>
      <c r="I41" s="90" t="e">
        <f t="shared" ca="1" si="12"/>
        <v>#NAME?</v>
      </c>
      <c r="J41" s="71"/>
      <c r="K41" s="67" t="e">
        <f ca="1">K39+K40</f>
        <v>#NAME?</v>
      </c>
      <c r="L41" s="68"/>
      <c r="M41" s="69" t="e">
        <f ca="1">M39+M40</f>
        <v>#NAME?</v>
      </c>
      <c r="N41" s="51"/>
      <c r="O41" s="90" t="e">
        <f t="shared" ca="1" si="13"/>
        <v>#NAME?</v>
      </c>
      <c r="P41" s="53"/>
      <c r="Q41" s="67" t="e">
        <f ca="1">Q39+Q40</f>
        <v>#NAME?</v>
      </c>
      <c r="R41" s="51"/>
      <c r="S41" s="69" t="e">
        <f ca="1">S39+S40</f>
        <v>#NAME?</v>
      </c>
      <c r="T41" s="51"/>
      <c r="U41" s="90" t="e">
        <f t="shared" ca="1" si="14"/>
        <v>#NAME?</v>
      </c>
      <c r="V41" s="25"/>
      <c r="W41" s="67"/>
      <c r="X41" s="51"/>
      <c r="Y41" s="69"/>
      <c r="Z41" s="51"/>
      <c r="AA41" s="94"/>
      <c r="AB41" s="53"/>
      <c r="AC41" s="67"/>
      <c r="AD41" s="51"/>
      <c r="AE41" s="69"/>
      <c r="AF41" s="51"/>
      <c r="AG41" s="94"/>
      <c r="AH41" s="53"/>
      <c r="AI41" s="67"/>
      <c r="AJ41" s="51"/>
      <c r="AK41" s="69"/>
      <c r="AL41" s="51"/>
      <c r="AM41" s="94"/>
      <c r="AN41" s="53"/>
      <c r="AO41" s="67"/>
      <c r="AP41" s="51"/>
      <c r="AQ41" s="69"/>
      <c r="AR41" s="51"/>
      <c r="AS41" s="94"/>
      <c r="AT41" s="53"/>
      <c r="AU41" s="67"/>
      <c r="AV41" s="51"/>
      <c r="AW41" s="69"/>
      <c r="AX41" s="51"/>
      <c r="AY41" s="94"/>
      <c r="BA41" s="67"/>
      <c r="BB41" s="51"/>
      <c r="BC41" s="69"/>
      <c r="BD41" s="51"/>
      <c r="BE41" s="94"/>
      <c r="BG41" s="67"/>
      <c r="BH41" s="51"/>
      <c r="BI41" s="69"/>
      <c r="BJ41" s="51"/>
      <c r="BK41" s="94"/>
      <c r="BL41" s="53"/>
      <c r="BN41" s="67"/>
      <c r="BO41" s="51"/>
      <c r="BP41" s="69"/>
      <c r="BQ41" s="51"/>
      <c r="BR41" s="94"/>
      <c r="BS41" s="53"/>
    </row>
    <row r="42" spans="1:71" s="65" customFormat="1" outlineLevel="1">
      <c r="A42" s="65" t="s">
        <v>303</v>
      </c>
      <c r="B42" s="65" t="s">
        <v>301</v>
      </c>
      <c r="C42" s="65" t="s">
        <v>290</v>
      </c>
      <c r="D42" s="92" t="str">
        <f>CHOOSE([6]Traduction!$A$2,[6]Traduction!$A53,[6]Traduction!$B53)</f>
        <v>o/w Luxembourg</v>
      </c>
      <c r="E42" s="67" t="e">
        <f ca="1">_xll.GetCtData("CO-AMOUNT","CONS-AMOUNT",$A$1:$A$4,$A42:$B42,E$5:E$10,"#")</f>
        <v>#NAME?</v>
      </c>
      <c r="F42" s="68"/>
      <c r="G42" s="69" t="e">
        <f ca="1">_xll.GetCtData("CO-AMOUNT","CONS-AMOUNT",$A$1:$A$4,$A42:$B42,G$5:G$10,"#")</f>
        <v>#NAME?</v>
      </c>
      <c r="H42" s="93"/>
      <c r="I42" s="90" t="e">
        <f t="shared" ca="1" si="12"/>
        <v>#NAME?</v>
      </c>
      <c r="J42" s="71"/>
      <c r="K42" s="67" t="e">
        <f ca="1">_xll.GetCtData("CO-AMOUNT","CONS-AMOUNT",$A$1:$A$4,$A42:$B42,K$5:K$10,"#")</f>
        <v>#NAME?</v>
      </c>
      <c r="L42" s="68"/>
      <c r="M42" s="69" t="e">
        <f ca="1">_xll.GetCtData("CO-AMOUNT","CONS-AMOUNT",$A$1:$A$4,$A42:$B42,M$5:M$10,"#")</f>
        <v>#NAME?</v>
      </c>
      <c r="N42" s="51"/>
      <c r="O42" s="90" t="e">
        <f t="shared" ca="1" si="13"/>
        <v>#NAME?</v>
      </c>
      <c r="P42" s="53"/>
      <c r="Q42" s="67" t="e">
        <f ca="1">_xll.GetCtData("CO-AMOUNT","CONS-AMOUNT",$A$1:$A$4,$A42:$B42,Q$5:Q$10,"#")</f>
        <v>#NAME?</v>
      </c>
      <c r="R42" s="51"/>
      <c r="S42" s="69" t="e">
        <f ca="1">_xll.GetCtData("CO-AMOUNT","CONS-AMOUNT",$A$1:$A$4,$A42:$B42,S$5:S$10,"#")</f>
        <v>#NAME?</v>
      </c>
      <c r="T42" s="51"/>
      <c r="U42" s="90" t="e">
        <f t="shared" ca="1" si="14"/>
        <v>#NAME?</v>
      </c>
      <c r="V42" s="25"/>
      <c r="W42" s="67" t="e">
        <f ca="1">_xll.GetCtData("CO-AMOUNT","CONS-AMOUNT",$A$1:$A$4,$A42:$B42,W$5:W$10,"#")</f>
        <v>#NAME?</v>
      </c>
      <c r="X42" s="51"/>
      <c r="Y42" s="69" t="e">
        <f ca="1">_xll.GetCtData("CO-AMOUNT","CONS-AMOUNT",$A$1:$A$4,$A42:$B42,Y$5:Y$10,"#")</f>
        <v>#NAME?</v>
      </c>
      <c r="Z42" s="51"/>
      <c r="AA42" s="94" t="e">
        <f t="shared" ca="1" si="15"/>
        <v>#NAME?</v>
      </c>
      <c r="AB42" s="53"/>
      <c r="AC42" s="67" t="e">
        <f ca="1">_xll.GetCtData("CO-AMOUNT","CONS-AMOUNT",$A$1:$A$4,$A42:$B42,AC$5:AC$10,"#")</f>
        <v>#NAME?</v>
      </c>
      <c r="AD42" s="51"/>
      <c r="AE42" s="69" t="e">
        <f ca="1">_xll.GetCtData("CO-AMOUNT","CONS-AMOUNT",$A$1:$A$4,$A42:$B42,AE$5:AE$10,"#")</f>
        <v>#NAME?</v>
      </c>
      <c r="AF42" s="51"/>
      <c r="AG42" s="94" t="e">
        <f t="shared" ca="1" si="16"/>
        <v>#NAME?</v>
      </c>
      <c r="AH42" s="53"/>
      <c r="AI42" s="67" t="e">
        <f ca="1">_xll.GetCtData("CO-AMOUNT","CONS-AMOUNT",$A$1:$A$4,$A42:$B42,AI$5:AI$10,"#")</f>
        <v>#NAME?</v>
      </c>
      <c r="AJ42" s="51"/>
      <c r="AK42" s="69" t="e">
        <f ca="1">_xll.GetCtData("CO-AMOUNT","CONS-AMOUNT",$A$1:$A$4,$A42:$B42,AK$5:AK$10,"#")</f>
        <v>#NAME?</v>
      </c>
      <c r="AL42" s="51"/>
      <c r="AM42" s="94" t="e">
        <f t="shared" ca="1" si="17"/>
        <v>#NAME?</v>
      </c>
      <c r="AN42" s="53"/>
      <c r="AO42" s="67" t="e">
        <f ca="1">_xll.GetCtData("CO-AMOUNT","CONS-AMOUNT",$A$1:$A$4,$A42:$B42,AO$5:AO$10,"#")</f>
        <v>#NAME?</v>
      </c>
      <c r="AP42" s="51"/>
      <c r="AQ42" s="69" t="e">
        <f ca="1">_xll.GetCtData("CO-AMOUNT","CONS-AMOUNT",$A$1:$A$4,$A42:$B42,AQ$5:AQ$10,"#")</f>
        <v>#NAME?</v>
      </c>
      <c r="AR42" s="51"/>
      <c r="AS42" s="94" t="e">
        <f t="shared" ca="1" si="18"/>
        <v>#NAME?</v>
      </c>
      <c r="AT42" s="53"/>
      <c r="AU42" s="67" t="e">
        <f t="shared" ca="1" si="24"/>
        <v>#NAME?</v>
      </c>
      <c r="AV42" s="51"/>
      <c r="AW42" s="69" t="e">
        <f t="shared" ca="1" si="25"/>
        <v>#NAME?</v>
      </c>
      <c r="AX42" s="51"/>
      <c r="AY42" s="94" t="e">
        <f t="shared" ca="1" si="19"/>
        <v>#NAME?</v>
      </c>
      <c r="BA42" s="67" t="e">
        <f t="shared" ca="1" si="20"/>
        <v>#NAME?</v>
      </c>
      <c r="BB42" s="51"/>
      <c r="BC42" s="69" t="e">
        <f t="shared" ca="1" si="21"/>
        <v>#NAME?</v>
      </c>
      <c r="BD42" s="51"/>
      <c r="BE42" s="94" t="e">
        <f t="shared" ca="1" si="26"/>
        <v>#NAME?</v>
      </c>
      <c r="BG42" s="67" t="e">
        <f ca="1">_xll.GetCtData("CO-AMOUNT","CONS-AMOUNT",$A$1:$A$4,$A42:$B42,BG$5:BG$10,"#")</f>
        <v>#NAME?</v>
      </c>
      <c r="BH42" s="51"/>
      <c r="BI42" s="69" t="e">
        <f ca="1">_xll.GetCtData("CO-AMOUNT","CONS-AMOUNT",$A$1:$A$4,$A42:$B42,BI$5:BI$10,"#")</f>
        <v>#NAME?</v>
      </c>
      <c r="BJ42" s="51"/>
      <c r="BK42" s="94" t="e">
        <f t="shared" ca="1" si="22"/>
        <v>#NAME?</v>
      </c>
      <c r="BL42" s="53"/>
      <c r="BN42" s="67" t="e">
        <f ca="1">_xll.GetCtData("CO-AMOUNT","CONS-AMOUNT",$A$1:$A$4,$A42:$B42,BN$5:BN$10,"#")</f>
        <v>#NAME?</v>
      </c>
      <c r="BO42" s="51"/>
      <c r="BP42" s="69" t="e">
        <f ca="1">_xll.GetCtData("CO-AMOUNT","CONS-AMOUNT",$A$1:$A$4,$A42:$B42,BP$5:BP$10,"#")</f>
        <v>#NAME?</v>
      </c>
      <c r="BQ42" s="51"/>
      <c r="BR42" s="94" t="e">
        <f t="shared" ca="1" si="23"/>
        <v>#NAME?</v>
      </c>
      <c r="BS42" s="53"/>
    </row>
    <row r="43" spans="1:71" s="65" customFormat="1" outlineLevel="1">
      <c r="A43" s="65" t="s">
        <v>306</v>
      </c>
      <c r="B43" s="65" t="s">
        <v>307</v>
      </c>
      <c r="C43" s="65" t="s">
        <v>103</v>
      </c>
      <c r="D43" s="92" t="str">
        <f>CHOOSE([6]Traduction!$A$2,[6]Traduction!$A52,[6]Traduction!$B52)</f>
        <v>o/w UK</v>
      </c>
      <c r="E43" s="67" t="e">
        <f ca="1">_xll.GetCtData("CO-AMOUNT","CONS-AMOUNT",$A$1:$A$4,$A43:$B43,E$5:E$10,"#0")</f>
        <v>#NAME?</v>
      </c>
      <c r="F43" s="68"/>
      <c r="G43" s="69" t="e">
        <f ca="1">_xll.GetCtData("CO-AMOUNT","CONS-AMOUNT",$A$1:$A$4,$A43:$B43,G$5:G$10,"#")</f>
        <v>#NAME?</v>
      </c>
      <c r="H43" s="68"/>
      <c r="I43" s="70" t="e">
        <f t="shared" ca="1" si="12"/>
        <v>#NAME?</v>
      </c>
      <c r="J43" s="71"/>
      <c r="K43" s="67" t="e">
        <f ca="1">_xll.GetCtData("CO-AMOUNT","CONS-AMOUNT",$A$1:$A$4,$A43:$B43,K$5:K$10,"#")</f>
        <v>#NAME?</v>
      </c>
      <c r="L43" s="68"/>
      <c r="M43" s="69" t="e">
        <f ca="1">_xll.GetCtData("CO-AMOUNT","CONS-AMOUNT",$A$1:$A$4,$A43:$B43,M$5:M$10,"#")</f>
        <v>#NAME?</v>
      </c>
      <c r="N43" s="51"/>
      <c r="O43" s="70" t="e">
        <f t="shared" ca="1" si="13"/>
        <v>#NAME?</v>
      </c>
      <c r="P43" s="53"/>
      <c r="Q43" s="67" t="e">
        <f ca="1">_xll.GetCtData("CO-AMOUNT","CONS-AMOUNT",$A$1:$A$4,$A43:$B43,Q$5:Q$10,"#0")</f>
        <v>#NAME?</v>
      </c>
      <c r="R43" s="51"/>
      <c r="S43" s="69" t="e">
        <f ca="1">_xll.GetCtData("CO-AMOUNT","CONS-AMOUNT",$A$1:$A$4,$A43:$B43,S$5:S$10,"#")</f>
        <v>#NAME?</v>
      </c>
      <c r="T43" s="51"/>
      <c r="U43" s="70" t="e">
        <f t="shared" ca="1" si="14"/>
        <v>#NAME?</v>
      </c>
      <c r="V43" s="25"/>
      <c r="W43" s="67" t="e">
        <f ca="1">_xll.GetCtData("CO-AMOUNT","CONS-AMOUNT",$A$1:$A$4,$A43:$B43,W$5:W$10,"#")</f>
        <v>#NAME?</v>
      </c>
      <c r="X43" s="51"/>
      <c r="Y43" s="69" t="e">
        <f ca="1">_xll.GetCtData("CO-AMOUNT","CONS-AMOUNT",$A$1:$A$4,$A43:$B43,Y$5:Y$10,"#")</f>
        <v>#NAME?</v>
      </c>
      <c r="Z43" s="51"/>
      <c r="AA43" s="70" t="e">
        <f t="shared" ca="1" si="15"/>
        <v>#NAME?</v>
      </c>
      <c r="AB43" s="53"/>
      <c r="AC43" s="67" t="e">
        <f ca="1">_xll.GetCtData("CO-AMOUNT","CONS-AMOUNT",$A$1:$A$4,$A43:$B43,AC$5:AC$10,"#")</f>
        <v>#NAME?</v>
      </c>
      <c r="AD43" s="51"/>
      <c r="AE43" s="69" t="e">
        <f ca="1">_xll.GetCtData("CO-AMOUNT","CONS-AMOUNT",$A$1:$A$4,$A43:$B43,AE$5:AE$10,"#")</f>
        <v>#NAME?</v>
      </c>
      <c r="AF43" s="51"/>
      <c r="AG43" s="70" t="e">
        <f t="shared" ca="1" si="16"/>
        <v>#NAME?</v>
      </c>
      <c r="AH43" s="53"/>
      <c r="AI43" s="67" t="e">
        <f ca="1">_xll.GetCtData("CO-AMOUNT","CONS-AMOUNT",$A$1:$A$4,$A43:$B43,AI$5:AI$10,"#")</f>
        <v>#NAME?</v>
      </c>
      <c r="AJ43" s="51"/>
      <c r="AK43" s="69" t="e">
        <f ca="1">_xll.GetCtData("CO-AMOUNT","CONS-AMOUNT",$A$1:$A$4,$A43:$B43,AK$5:AK$10,"#")</f>
        <v>#NAME?</v>
      </c>
      <c r="AL43" s="51"/>
      <c r="AM43" s="70" t="e">
        <f t="shared" ca="1" si="17"/>
        <v>#NAME?</v>
      </c>
      <c r="AN43" s="53"/>
      <c r="AO43" s="67" t="e">
        <f ca="1">_xll.GetCtData("CO-AMOUNT","CONS-AMOUNT",$A$1:$A$4,$A43:$B43,AO$5:AO$10,"#")</f>
        <v>#NAME?</v>
      </c>
      <c r="AP43" s="51"/>
      <c r="AQ43" s="69" t="e">
        <f ca="1">_xll.GetCtData("CO-AMOUNT","CONS-AMOUNT",$A$1:$A$4,$A43:$B43,AQ$5:AQ$10,"#")</f>
        <v>#NAME?</v>
      </c>
      <c r="AR43" s="51"/>
      <c r="AS43" s="70" t="e">
        <f t="shared" ca="1" si="18"/>
        <v>#NAME?</v>
      </c>
      <c r="AT43" s="53"/>
      <c r="AU43" s="67" t="e">
        <f t="shared" ca="1" si="24"/>
        <v>#NAME?</v>
      </c>
      <c r="AV43" s="51"/>
      <c r="AW43" s="69" t="e">
        <f t="shared" ca="1" si="25"/>
        <v>#NAME?</v>
      </c>
      <c r="AX43" s="51"/>
      <c r="AY43" s="70" t="e">
        <f t="shared" ca="1" si="19"/>
        <v>#NAME?</v>
      </c>
      <c r="BA43" s="67" t="e">
        <f t="shared" ca="1" si="20"/>
        <v>#NAME?</v>
      </c>
      <c r="BB43" s="51"/>
      <c r="BC43" s="69" t="e">
        <f t="shared" ca="1" si="21"/>
        <v>#NAME?</v>
      </c>
      <c r="BD43" s="51"/>
      <c r="BE43" s="70" t="e">
        <f t="shared" ca="1" si="26"/>
        <v>#NAME?</v>
      </c>
      <c r="BG43" s="67" t="e">
        <f ca="1">_xll.GetCtData("CO-AMOUNT","CONS-AMOUNT",$A$1:$A$4,$A43:$B43,BG$5:BG$10,"#")</f>
        <v>#NAME?</v>
      </c>
      <c r="BH43" s="51"/>
      <c r="BI43" s="69" t="e">
        <f ca="1">_xll.GetCtData("CO-AMOUNT","CONS-AMOUNT",$A$1:$A$4,$A43:$B43,BI$5:BI$10,"#")</f>
        <v>#NAME?</v>
      </c>
      <c r="BJ43" s="51"/>
      <c r="BK43" s="70" t="e">
        <f t="shared" ca="1" si="22"/>
        <v>#NAME?</v>
      </c>
      <c r="BL43" s="53"/>
      <c r="BN43" s="67" t="e">
        <f ca="1">_xll.GetCtData("CO-AMOUNT","CONS-AMOUNT",$A$1:$A$4,$A43:$B43,BN$5:BN$10,"#")</f>
        <v>#NAME?</v>
      </c>
      <c r="BO43" s="51"/>
      <c r="BP43" s="69" t="e">
        <f ca="1">_xll.GetCtData("CO-AMOUNT","CONS-AMOUNT",$A$1:$A$4,$A43:$B43,BP$5:BP$10,"#")</f>
        <v>#NAME?</v>
      </c>
      <c r="BQ43" s="51"/>
      <c r="BR43" s="70" t="e">
        <f t="shared" ca="1" si="23"/>
        <v>#NAME?</v>
      </c>
      <c r="BS43" s="53"/>
    </row>
    <row r="44" spans="1:71" s="75" customFormat="1" ht="14.4" outlineLevel="1">
      <c r="A44" s="75" t="s">
        <v>306</v>
      </c>
      <c r="B44" s="75" t="s">
        <v>308</v>
      </c>
      <c r="C44" s="75" t="s">
        <v>287</v>
      </c>
      <c r="D44" s="95" t="s">
        <v>288</v>
      </c>
      <c r="E44" s="77" t="e">
        <f ca="1">_xll.GetCtData("CO-AMOUNT","AMOUNT",$A$1:$A$4,$A44:$B44,E$5:E$10,"#")</f>
        <v>#NAME?</v>
      </c>
      <c r="F44" s="78"/>
      <c r="G44" s="79" t="e">
        <f ca="1">_xll.GetCtData("CO-AMOUNT","AMOUNT",$A$1:$A$4,$A44:$B44,G$5:G$10,"#")</f>
        <v>#NAME?</v>
      </c>
      <c r="H44" s="78"/>
      <c r="I44" s="96" t="e">
        <f t="shared" ca="1" si="12"/>
        <v>#NAME?</v>
      </c>
      <c r="J44" s="81"/>
      <c r="K44" s="77" t="e">
        <f ca="1">_xll.GetCtData("CO-AMOUNT","AMOUNT",$A$1:$A$4,$A44:$B44,K$5:K$10,"#")</f>
        <v>#NAME?</v>
      </c>
      <c r="L44" s="78"/>
      <c r="M44" s="79" t="e">
        <f ca="1">_xll.GetCtData("CO-AMOUNT","AMOUNT",$A$1:$A$4,$A44:$B44,M$5:M$10,"#")</f>
        <v>#NAME?</v>
      </c>
      <c r="N44" s="82"/>
      <c r="O44" s="96" t="e">
        <f t="shared" ca="1" si="13"/>
        <v>#NAME?</v>
      </c>
      <c r="P44" s="83"/>
      <c r="Q44" s="77" t="e">
        <f ca="1">_xll.GetCtData("CO-AMOUNT","AMOUNT",$A$1:$A$4,$A44:$B44,Q$5:Q$10,"#")</f>
        <v>#NAME?</v>
      </c>
      <c r="R44" s="82"/>
      <c r="S44" s="79" t="e">
        <f ca="1">_xll.GetCtData("CO-AMOUNT","AMOUNT",$A$1:$A$4,$A44:$B44,S$5:S$10,"#")</f>
        <v>#NAME?</v>
      </c>
      <c r="T44" s="82"/>
      <c r="U44" s="96" t="e">
        <f t="shared" ca="1" si="14"/>
        <v>#NAME?</v>
      </c>
      <c r="V44" s="25"/>
      <c r="W44" s="77" t="e">
        <f ca="1">_xll.GetCtData("CO-AMOUNT","AMOUNT",$A$1:$A$4,$A44:$B44,W$5:W$10,"#")</f>
        <v>#NAME?</v>
      </c>
      <c r="X44" s="82"/>
      <c r="Y44" s="79" t="e">
        <f ca="1">_xll.GetCtData("CO-AMOUNT","AMOUNT",$A$1:$A$4,$A44:$B44,Y$5:Y$10,"#")</f>
        <v>#NAME?</v>
      </c>
      <c r="Z44" s="82"/>
      <c r="AA44" s="96" t="e">
        <f t="shared" ca="1" si="15"/>
        <v>#NAME?</v>
      </c>
      <c r="AB44" s="83"/>
      <c r="AC44" s="77" t="e">
        <f ca="1">_xll.GetCtData("CO-AMOUNT","AMOUNT",$A$1:$A$4,$A44:$B44,AC$5:AC$10,"#")</f>
        <v>#NAME?</v>
      </c>
      <c r="AD44" s="82"/>
      <c r="AE44" s="79" t="e">
        <f ca="1">_xll.GetCtData("CO-AMOUNT","AMOUNT",$A$1:$A$4,$A44:$B44,AE$5:AE$10,"#")</f>
        <v>#NAME?</v>
      </c>
      <c r="AF44" s="82"/>
      <c r="AG44" s="96" t="e">
        <f t="shared" ca="1" si="16"/>
        <v>#NAME?</v>
      </c>
      <c r="AH44" s="83"/>
      <c r="AI44" s="77" t="e">
        <f ca="1">_xll.GetCtData("CO-AMOUNT","AMOUNT",$A$1:$A$4,$A44:$B44,AI$5:AI$10,"#")</f>
        <v>#NAME?</v>
      </c>
      <c r="AJ44" s="82"/>
      <c r="AK44" s="79" t="e">
        <f ca="1">_xll.GetCtData("CO-AMOUNT","AMOUNT",$A$1:$A$4,$A44:$B44,AK$5:AK$10,"#")</f>
        <v>#NAME?</v>
      </c>
      <c r="AL44" s="82"/>
      <c r="AM44" s="96" t="e">
        <f t="shared" ca="1" si="17"/>
        <v>#NAME?</v>
      </c>
      <c r="AN44" s="83"/>
      <c r="AO44" s="77" t="e">
        <f ca="1">_xll.GetCtData("CO-AMOUNT","AMOUNT",$A$1:$A$4,$A44:$B44,AO$5:AO$10,"#")</f>
        <v>#NAME?</v>
      </c>
      <c r="AP44" s="82"/>
      <c r="AQ44" s="79" t="e">
        <f ca="1">_xll.GetCtData("CO-AMOUNT","AMOUNT",$A$1:$A$4,$A44:$B44,AQ$5:AQ$10,"#")</f>
        <v>#NAME?</v>
      </c>
      <c r="AR44" s="82"/>
      <c r="AS44" s="96" t="e">
        <f t="shared" ca="1" si="18"/>
        <v>#NAME?</v>
      </c>
      <c r="AT44" s="83"/>
      <c r="AU44" s="77" t="e">
        <f t="shared" ca="1" si="24"/>
        <v>#NAME?</v>
      </c>
      <c r="AV44" s="82"/>
      <c r="AW44" s="79" t="e">
        <f t="shared" ca="1" si="25"/>
        <v>#NAME?</v>
      </c>
      <c r="AX44" s="82"/>
      <c r="AY44" s="96" t="e">
        <f t="shared" ca="1" si="19"/>
        <v>#NAME?</v>
      </c>
      <c r="BA44" s="77" t="e">
        <f t="shared" ca="1" si="20"/>
        <v>#NAME?</v>
      </c>
      <c r="BB44" s="82"/>
      <c r="BC44" s="79" t="e">
        <f t="shared" ca="1" si="21"/>
        <v>#NAME?</v>
      </c>
      <c r="BD44" s="82"/>
      <c r="BE44" s="96" t="e">
        <f t="shared" ca="1" si="26"/>
        <v>#NAME?</v>
      </c>
      <c r="BG44" s="77" t="e">
        <f ca="1">_xll.GetCtData("CO-AMOUNT","AMOUNT",$A$1:$A$4,$A44:$B44,BG$5:BG$10,"#")</f>
        <v>#NAME?</v>
      </c>
      <c r="BH44" s="82"/>
      <c r="BI44" s="79" t="e">
        <f ca="1">_xll.GetCtData("CO-AMOUNT","AMOUNT",$A$1:$A$4,$A44:$B44,BI$5:BI$10,"#")</f>
        <v>#NAME?</v>
      </c>
      <c r="BJ44" s="82"/>
      <c r="BK44" s="96" t="e">
        <f t="shared" ca="1" si="22"/>
        <v>#NAME?</v>
      </c>
      <c r="BL44" s="83"/>
      <c r="BN44" s="77" t="e">
        <f ca="1">_xll.GetCtData("CO-AMOUNT","AMOUNT",$A$1:$A$4,$A44:$B44,BN$5:BN$10,"#")</f>
        <v>#NAME?</v>
      </c>
      <c r="BO44" s="82"/>
      <c r="BP44" s="79" t="e">
        <f ca="1">_xll.GetCtData("CO-AMOUNT","AMOUNT",$A$1:$A$4,$A44:$B44,BP$5:BP$10,"#")</f>
        <v>#NAME?</v>
      </c>
      <c r="BQ44" s="82"/>
      <c r="BR44" s="96" t="e">
        <f t="shared" ca="1" si="23"/>
        <v>#NAME?</v>
      </c>
      <c r="BS44" s="83"/>
    </row>
    <row r="45" spans="1:71" s="65" customFormat="1" outlineLevel="1">
      <c r="A45" s="65" t="s">
        <v>303</v>
      </c>
      <c r="B45" s="65" t="s">
        <v>309</v>
      </c>
      <c r="C45" s="65" t="s">
        <v>310</v>
      </c>
      <c r="D45" s="92" t="str">
        <f>CHOOSE([6]Traduction!$A$2,[6]Traduction!$A66,[6]Traduction!$B66)</f>
        <v>o/w Belgium</v>
      </c>
      <c r="E45" s="67" t="e">
        <f ca="1">_xll.GetCtData("CO-AMOUNT","CONS-AMOUNT",$A$1:$A$4,$A45:$B45,E$5:E$10,"#")</f>
        <v>#NAME?</v>
      </c>
      <c r="F45" s="68"/>
      <c r="G45" s="69" t="e">
        <f ca="1">_xll.GetCtData("CO-AMOUNT","CONS-AMOUNT",$A$1:$A$4,$A45:$B45,G$5:G$10,"#")</f>
        <v>#NAME?</v>
      </c>
      <c r="H45" s="93"/>
      <c r="I45" s="94" t="e">
        <f t="shared" ca="1" si="12"/>
        <v>#NAME?</v>
      </c>
      <c r="J45" s="71"/>
      <c r="K45" s="67" t="e">
        <f ca="1">_xll.GetCtData("CO-AMOUNT","CONS-AMOUNT",$A$1:$A$4,$A45:$B45,K$5:K$10,"#")</f>
        <v>#NAME?</v>
      </c>
      <c r="L45" s="68"/>
      <c r="M45" s="69" t="e">
        <f ca="1">_xll.GetCtData("CO-AMOUNT","CONS-AMOUNT",$A$1:$A$4,$A45:$B45,M$5:M$10,"#")</f>
        <v>#NAME?</v>
      </c>
      <c r="N45" s="51"/>
      <c r="O45" s="70" t="e">
        <f t="shared" ca="1" si="13"/>
        <v>#NAME?</v>
      </c>
      <c r="P45" s="53"/>
      <c r="Q45" s="67" t="e">
        <f ca="1">_xll.GetCtData("CO-AMOUNT","CONS-AMOUNT",$A$1:$A$4,$A45:$B45,Q$5:Q$10,"#")</f>
        <v>#NAME?</v>
      </c>
      <c r="R45" s="51"/>
      <c r="S45" s="69" t="e">
        <f ca="1">_xll.GetCtData("CO-AMOUNT","CONS-AMOUNT",$A$1:$A$4,$A45:$B45,S$5:S$10,"#")</f>
        <v>#NAME?</v>
      </c>
      <c r="T45" s="51"/>
      <c r="U45" s="94" t="e">
        <f t="shared" ca="1" si="14"/>
        <v>#NAME?</v>
      </c>
      <c r="V45" s="25"/>
      <c r="W45" s="67" t="e">
        <f ca="1">_xll.GetCtData("CO-AMOUNT","CONS-AMOUNT",$A$1:$A$4,$A45:$B45,W$5:W$10,"#")</f>
        <v>#NAME?</v>
      </c>
      <c r="X45" s="51"/>
      <c r="Y45" s="69" t="e">
        <f ca="1">_xll.GetCtData("CO-AMOUNT","CONS-AMOUNT",$A$1:$A$4,$A45:$B45,Y$5:Y$10,"#")</f>
        <v>#NAME?</v>
      </c>
      <c r="Z45" s="51"/>
      <c r="AA45" s="94" t="e">
        <f t="shared" ca="1" si="15"/>
        <v>#NAME?</v>
      </c>
      <c r="AB45" s="53"/>
      <c r="AC45" s="67" t="e">
        <f ca="1">_xll.GetCtData("CO-AMOUNT","CONS-AMOUNT",$A$1:$A$4,$A45:$B45,AC$5:AC$10,"#")</f>
        <v>#NAME?</v>
      </c>
      <c r="AD45" s="51"/>
      <c r="AE45" s="69" t="e">
        <f ca="1">_xll.GetCtData("CO-AMOUNT","CONS-AMOUNT",$A$1:$A$4,$A45:$B45,AE$5:AE$10,"#")</f>
        <v>#NAME?</v>
      </c>
      <c r="AF45" s="51"/>
      <c r="AG45" s="94" t="e">
        <f t="shared" ca="1" si="16"/>
        <v>#NAME?</v>
      </c>
      <c r="AH45" s="53"/>
      <c r="AI45" s="67" t="e">
        <f ca="1">_xll.GetCtData("CO-AMOUNT","CONS-AMOUNT",$A$1:$A$4,$A45:$B45,AI$5:AI$10,"#")</f>
        <v>#NAME?</v>
      </c>
      <c r="AJ45" s="51"/>
      <c r="AK45" s="69" t="e">
        <f ca="1">_xll.GetCtData("CO-AMOUNT","CONS-AMOUNT",$A$1:$A$4,$A45:$B45,AK$5:AK$10,"#")</f>
        <v>#NAME?</v>
      </c>
      <c r="AL45" s="51"/>
      <c r="AM45" s="94" t="e">
        <f t="shared" ca="1" si="17"/>
        <v>#NAME?</v>
      </c>
      <c r="AN45" s="53"/>
      <c r="AO45" s="67" t="e">
        <f ca="1">_xll.GetCtData("CO-AMOUNT","CONS-AMOUNT",$A$1:$A$4,$A45:$B45,AO$5:AO$10,"#")</f>
        <v>#NAME?</v>
      </c>
      <c r="AP45" s="51"/>
      <c r="AQ45" s="69" t="e">
        <f ca="1">_xll.GetCtData("CO-AMOUNT","CONS-AMOUNT",$A$1:$A$4,$A45:$B45,AQ$5:AQ$10,"#")</f>
        <v>#NAME?</v>
      </c>
      <c r="AR45" s="51"/>
      <c r="AS45" s="94" t="e">
        <f t="shared" ca="1" si="18"/>
        <v>#NAME?</v>
      </c>
      <c r="AT45" s="53"/>
      <c r="AU45" s="67" t="e">
        <f t="shared" ca="1" si="24"/>
        <v>#NAME?</v>
      </c>
      <c r="AV45" s="51"/>
      <c r="AW45" s="69" t="e">
        <f t="shared" ca="1" si="25"/>
        <v>#NAME?</v>
      </c>
      <c r="AX45" s="51"/>
      <c r="AY45" s="94" t="e">
        <f t="shared" ca="1" si="19"/>
        <v>#NAME?</v>
      </c>
      <c r="BA45" s="67" t="e">
        <f t="shared" ca="1" si="20"/>
        <v>#NAME?</v>
      </c>
      <c r="BB45" s="51"/>
      <c r="BC45" s="69" t="e">
        <f t="shared" ca="1" si="21"/>
        <v>#NAME?</v>
      </c>
      <c r="BD45" s="51"/>
      <c r="BE45" s="94" t="e">
        <f t="shared" ca="1" si="26"/>
        <v>#NAME?</v>
      </c>
      <c r="BG45" s="67" t="e">
        <f ca="1">_xll.GetCtData("CO-AMOUNT","CONS-AMOUNT",$A$1:$A$4,$A45:$B45,BG$5:BG$10,"#")</f>
        <v>#NAME?</v>
      </c>
      <c r="BH45" s="51"/>
      <c r="BI45" s="69" t="e">
        <f ca="1">_xll.GetCtData("CO-AMOUNT","CONS-AMOUNT",$A$1:$A$4,$A45:$B45,BI$5:BI$10,"#")</f>
        <v>#NAME?</v>
      </c>
      <c r="BJ45" s="51"/>
      <c r="BK45" s="94" t="e">
        <f t="shared" ca="1" si="22"/>
        <v>#NAME?</v>
      </c>
      <c r="BL45" s="53"/>
      <c r="BN45" s="67" t="e">
        <f ca="1">_xll.GetCtData("CO-AMOUNT","CONS-AMOUNT",$A$1:$A$4,$A45:$B45,BN$5:BN$10,"#")</f>
        <v>#NAME?</v>
      </c>
      <c r="BO45" s="51"/>
      <c r="BP45" s="69" t="e">
        <f ca="1">_xll.GetCtData("CO-AMOUNT","CONS-AMOUNT",$A$1:$A$4,$A45:$B45,BP$5:BP$10,"#")</f>
        <v>#NAME?</v>
      </c>
      <c r="BQ45" s="51"/>
      <c r="BR45" s="94" t="e">
        <f t="shared" ca="1" si="23"/>
        <v>#NAME?</v>
      </c>
      <c r="BS45" s="53"/>
    </row>
    <row r="46" spans="1:71" s="65" customFormat="1" outlineLevel="1">
      <c r="A46" s="65" t="s">
        <v>303</v>
      </c>
      <c r="B46" s="65" t="s">
        <v>311</v>
      </c>
      <c r="C46" s="65" t="s">
        <v>281</v>
      </c>
      <c r="D46" s="97" t="str">
        <f>CHOOSE([6]Traduction!$A$2,[6]Traduction!$A48,[6]Traduction!$B48)</f>
        <v>o/w Spain</v>
      </c>
      <c r="E46" s="67" t="e">
        <f ca="1">_xll.GetCtData("CO-AMOUNT","CONS-AMOUNT",$A$1:$A$4,$A46:$B46,E$5:E$10,"#")</f>
        <v>#NAME?</v>
      </c>
      <c r="F46" s="68"/>
      <c r="G46" s="69" t="e">
        <f ca="1">_xll.GetCtData("CO-AMOUNT","CONS-AMOUNT",$A$1:$A$4,$A46:$B46,G$5:G$10,"#")</f>
        <v>#NAME?</v>
      </c>
      <c r="H46" s="93"/>
      <c r="I46" s="94" t="e">
        <f t="shared" ca="1" si="12"/>
        <v>#NAME?</v>
      </c>
      <c r="J46" s="71"/>
      <c r="K46" s="67" t="e">
        <f ca="1">_xll.GetCtData("CO-AMOUNT","CONS-AMOUNT",$A$1:$A$4,$A46:$B46,K$5:K$10,"#")</f>
        <v>#NAME?</v>
      </c>
      <c r="L46" s="68"/>
      <c r="M46" s="69" t="e">
        <f ca="1">_xll.GetCtData("CO-AMOUNT","CONS-AMOUNT",$A$1:$A$4,$A46:$B46,M$5:M$10,"#")</f>
        <v>#NAME?</v>
      </c>
      <c r="N46" s="51"/>
      <c r="O46" s="70" t="e">
        <f t="shared" ca="1" si="13"/>
        <v>#NAME?</v>
      </c>
      <c r="P46" s="53"/>
      <c r="Q46" s="67" t="e">
        <f ca="1">_xll.GetCtData("CO-AMOUNT","CONS-AMOUNT",$A$1:$A$4,$A46:$B46,Q$5:Q$10,"#")</f>
        <v>#NAME?</v>
      </c>
      <c r="R46" s="51"/>
      <c r="S46" s="69" t="e">
        <f ca="1">_xll.GetCtData("CO-AMOUNT","CONS-AMOUNT",$A$1:$A$4,$A46:$B46,S$5:S$10,"#")</f>
        <v>#NAME?</v>
      </c>
      <c r="T46" s="51"/>
      <c r="U46" s="94" t="e">
        <f t="shared" ca="1" si="14"/>
        <v>#NAME?</v>
      </c>
      <c r="V46" s="25"/>
      <c r="W46" s="67" t="e">
        <f ca="1">_xll.GetCtData("CO-AMOUNT","CONS-AMOUNT",$A$1:$A$4,$A46:$B46,W$5:W$10,"#")</f>
        <v>#NAME?</v>
      </c>
      <c r="X46" s="51"/>
      <c r="Y46" s="69" t="e">
        <f ca="1">_xll.GetCtData("CO-AMOUNT","CONS-AMOUNT",$A$1:$A$4,$A46:$B46,Y$5:Y$10,"#")</f>
        <v>#NAME?</v>
      </c>
      <c r="Z46" s="51"/>
      <c r="AA46" s="94" t="e">
        <f t="shared" ca="1" si="15"/>
        <v>#NAME?</v>
      </c>
      <c r="AB46" s="53"/>
      <c r="AC46" s="67" t="e">
        <f ca="1">_xll.GetCtData("CO-AMOUNT","CONS-AMOUNT",$A$1:$A$4,$A46:$B46,AC$5:AC$10,"#")</f>
        <v>#NAME?</v>
      </c>
      <c r="AD46" s="51"/>
      <c r="AE46" s="69" t="e">
        <f ca="1">_xll.GetCtData("CO-AMOUNT","CONS-AMOUNT",$A$1:$A$4,$A46:$B46,AE$5:AE$10,"#")</f>
        <v>#NAME?</v>
      </c>
      <c r="AF46" s="51"/>
      <c r="AG46" s="94" t="e">
        <f t="shared" ca="1" si="16"/>
        <v>#NAME?</v>
      </c>
      <c r="AH46" s="53"/>
      <c r="AI46" s="67" t="e">
        <f ca="1">_xll.GetCtData("CO-AMOUNT","CONS-AMOUNT",$A$1:$A$4,$A46:$B46,AI$5:AI$10,"#")</f>
        <v>#NAME?</v>
      </c>
      <c r="AJ46" s="51"/>
      <c r="AK46" s="69" t="e">
        <f ca="1">_xll.GetCtData("CO-AMOUNT","CONS-AMOUNT",$A$1:$A$4,$A46:$B46,AK$5:AK$10,"#")</f>
        <v>#NAME?</v>
      </c>
      <c r="AL46" s="51"/>
      <c r="AM46" s="94" t="e">
        <f t="shared" ca="1" si="17"/>
        <v>#NAME?</v>
      </c>
      <c r="AN46" s="53"/>
      <c r="AO46" s="67" t="e">
        <f ca="1">_xll.GetCtData("CO-AMOUNT","CONS-AMOUNT",$A$1:$A$4,$A46:$B46,AO$5:AO$10,"#")</f>
        <v>#NAME?</v>
      </c>
      <c r="AP46" s="51"/>
      <c r="AQ46" s="69" t="e">
        <f ca="1">_xll.GetCtData("CO-AMOUNT","CONS-AMOUNT",$A$1:$A$4,$A46:$B46,AQ$5:AQ$10,"#")</f>
        <v>#NAME?</v>
      </c>
      <c r="AR46" s="51"/>
      <c r="AS46" s="94" t="e">
        <f t="shared" ca="1" si="18"/>
        <v>#NAME?</v>
      </c>
      <c r="AT46" s="53"/>
      <c r="AU46" s="67" t="e">
        <f t="shared" ca="1" si="24"/>
        <v>#NAME?</v>
      </c>
      <c r="AV46" s="51"/>
      <c r="AW46" s="69" t="e">
        <f t="shared" ca="1" si="25"/>
        <v>#NAME?</v>
      </c>
      <c r="AX46" s="51"/>
      <c r="AY46" s="94" t="e">
        <f t="shared" ca="1" si="19"/>
        <v>#NAME?</v>
      </c>
      <c r="BA46" s="67" t="e">
        <f t="shared" ca="1" si="20"/>
        <v>#NAME?</v>
      </c>
      <c r="BB46" s="51"/>
      <c r="BC46" s="69" t="e">
        <f t="shared" ca="1" si="21"/>
        <v>#NAME?</v>
      </c>
      <c r="BD46" s="51"/>
      <c r="BE46" s="94" t="e">
        <f t="shared" ca="1" si="26"/>
        <v>#NAME?</v>
      </c>
      <c r="BG46" s="67" t="e">
        <f ca="1">_xll.GetCtData("CO-AMOUNT","CONS-AMOUNT",$A$1:$A$4,$A46:$B46,BG$5:BG$10,"#")</f>
        <v>#NAME?</v>
      </c>
      <c r="BH46" s="51"/>
      <c r="BI46" s="69" t="e">
        <f ca="1">_xll.GetCtData("CO-AMOUNT","CONS-AMOUNT",$A$1:$A$4,$A46:$B46,BI$5:BI$10,"#")</f>
        <v>#NAME?</v>
      </c>
      <c r="BJ46" s="51"/>
      <c r="BK46" s="94" t="e">
        <f t="shared" ca="1" si="22"/>
        <v>#NAME?</v>
      </c>
      <c r="BL46" s="53"/>
      <c r="BN46" s="67" t="e">
        <f ca="1">_xll.GetCtData("CO-AMOUNT","CONS-AMOUNT",$A$1:$A$4,$A46:$B46,BN$5:BN$10,"#")</f>
        <v>#NAME?</v>
      </c>
      <c r="BO46" s="51"/>
      <c r="BP46" s="69" t="e">
        <f ca="1">_xll.GetCtData("CO-AMOUNT","CONS-AMOUNT",$A$1:$A$4,$A46:$B46,BP$5:BP$10,"#")</f>
        <v>#NAME?</v>
      </c>
      <c r="BQ46" s="51"/>
      <c r="BR46" s="94" t="e">
        <f t="shared" ca="1" si="23"/>
        <v>#NAME?</v>
      </c>
      <c r="BS46" s="53"/>
    </row>
    <row r="47" spans="1:71" s="44" customFormat="1">
      <c r="A47" s="65"/>
      <c r="B47" s="65"/>
      <c r="C47" s="65"/>
      <c r="D47" s="86" t="s">
        <v>312</v>
      </c>
      <c r="E47" s="87" t="e">
        <f ca="1">SUM(E48:E68)-E50-E56-E59-E57-E52-E53-E54-E51</f>
        <v>#NAME?</v>
      </c>
      <c r="F47" s="47"/>
      <c r="G47" s="88" t="e">
        <f ca="1">SUM(G48:G68)-G50-G56-G59-G57-G52-G53-G54-G51</f>
        <v>#NAME?</v>
      </c>
      <c r="H47" s="98">
        <f>SUM(H48:H67)-H50-H56</f>
        <v>0</v>
      </c>
      <c r="I47" s="99" t="e">
        <f t="shared" ca="1" si="12"/>
        <v>#NAME?</v>
      </c>
      <c r="J47" s="100"/>
      <c r="K47" s="87" t="e">
        <f ca="1">SUM(K48:K68)-K50-K56-K59-K57-K52-K53-K54-K51</f>
        <v>#NAME?</v>
      </c>
      <c r="L47" s="47"/>
      <c r="M47" s="88" t="e">
        <f ca="1">SUM(M48:M68)-M50-M56-M59-M57-M52-M53-M54-M51</f>
        <v>#NAME?</v>
      </c>
      <c r="N47" s="98">
        <f>SUM(N48:N67)-N50-N56</f>
        <v>0</v>
      </c>
      <c r="O47" s="99" t="e">
        <f t="shared" ca="1" si="13"/>
        <v>#NAME?</v>
      </c>
      <c r="P47" s="53"/>
      <c r="Q47" s="87" t="e">
        <f ca="1">SUM(Q48:Q68)-Q50-Q56-Q59-Q57-Q52-Q53-Q54-Q51</f>
        <v>#NAME?</v>
      </c>
      <c r="R47" s="47"/>
      <c r="S47" s="88" t="e">
        <f ca="1">SUM(S48:S68)-S50-S56-S59-S57-S52-S53-S54-S51</f>
        <v>#NAME?</v>
      </c>
      <c r="T47" s="98">
        <f>SUM(T48:T67)-T50-T56</f>
        <v>0</v>
      </c>
      <c r="U47" s="99" t="e">
        <f t="shared" ca="1" si="14"/>
        <v>#NAME?</v>
      </c>
      <c r="V47" s="101"/>
      <c r="W47" s="87" t="e">
        <f ca="1">SUM(W48:W68)-W50-W56-W59-W57</f>
        <v>#NAME?</v>
      </c>
      <c r="X47" s="47"/>
      <c r="Y47" s="88" t="e">
        <f ca="1">SUM(Y48:Y68)-Y50-Y56-Y59-Y57</f>
        <v>#NAME?</v>
      </c>
      <c r="Z47" s="98">
        <f>SUM(Z48:Z67)-Z50-Z56</f>
        <v>0</v>
      </c>
      <c r="AA47" s="99" t="e">
        <f ca="1">SUM(AA48:AA68)-AA50-AA56-AA59-AA57</f>
        <v>#NAME?</v>
      </c>
      <c r="AB47" s="53"/>
      <c r="AC47" s="87" t="e">
        <f ca="1">SUM(AC48:AC68)-AC50-AC56-AC59-AC57</f>
        <v>#NAME?</v>
      </c>
      <c r="AD47" s="47"/>
      <c r="AE47" s="88" t="e">
        <f ca="1">SUM(AE48:AE68)-AE50-AE56-AE59-AE57</f>
        <v>#NAME?</v>
      </c>
      <c r="AF47" s="98">
        <f>SUM(AF48:AF67)-AF50-AF56</f>
        <v>0</v>
      </c>
      <c r="AG47" s="99" t="e">
        <f ca="1">SUM(AG48:AG68)-AG50-AG56-AG59-AG57</f>
        <v>#NAME?</v>
      </c>
      <c r="AH47" s="53"/>
      <c r="AI47" s="87" t="e">
        <f ca="1">SUM(AI48:AI68)-AI50-AI56-AI59-AI57</f>
        <v>#NAME?</v>
      </c>
      <c r="AJ47" s="47"/>
      <c r="AK47" s="88" t="e">
        <f ca="1">SUM(AK48:AK68)-AK50-AK56-AK59-AK57</f>
        <v>#NAME?</v>
      </c>
      <c r="AL47" s="98">
        <f>SUM(AL48:AL67)-AL50-AL56</f>
        <v>0</v>
      </c>
      <c r="AM47" s="99" t="e">
        <f ca="1">SUM(AM48:AM68)-AM50-AM56-AM59-AM57</f>
        <v>#NAME?</v>
      </c>
      <c r="AN47" s="53"/>
      <c r="AO47" s="87" t="e">
        <f ca="1">SUM(AO48:AO68)-AO50-AO56-AO59-AO57</f>
        <v>#NAME?</v>
      </c>
      <c r="AP47" s="47"/>
      <c r="AQ47" s="88" t="e">
        <f ca="1">SUM(AQ48:AQ68)-AQ50-AQ56-AQ59-AQ57</f>
        <v>#NAME?</v>
      </c>
      <c r="AR47" s="98">
        <f>SUM(AR48:AR67)-AR50-AR56</f>
        <v>0</v>
      </c>
      <c r="AS47" s="99" t="e">
        <f ca="1">SUM(AS48:AS68)-AS50-AS56-AS59-AS57</f>
        <v>#NAME?</v>
      </c>
      <c r="AT47" s="53"/>
      <c r="AU47" s="87" t="e">
        <f t="shared" ca="1" si="24"/>
        <v>#NAME?</v>
      </c>
      <c r="AV47" s="51"/>
      <c r="AW47" s="88" t="e">
        <f t="shared" ca="1" si="25"/>
        <v>#NAME?</v>
      </c>
      <c r="AX47" s="51">
        <f>SUM(AX48:AX67)-AX50-AX56</f>
        <v>0</v>
      </c>
      <c r="AY47" s="52" t="e">
        <f ca="1">AA47+AG47+AM47+AS47</f>
        <v>#NAME?</v>
      </c>
      <c r="BA47" s="87" t="e">
        <f ca="1">SUM(BA48:BA68)-BA50-BA56-BA59-BA57</f>
        <v>#NAME?</v>
      </c>
      <c r="BB47" s="47"/>
      <c r="BC47" s="88" t="e">
        <f ca="1">SUM(BC48:BC68)-BC50-BC56-BC59-BC57</f>
        <v>#NAME?</v>
      </c>
      <c r="BD47" s="98">
        <f>SUM(BD48:BD67)-BD50-BD56</f>
        <v>0</v>
      </c>
      <c r="BE47" s="99" t="e">
        <f ca="1">SUM(BE48:BE68)-BE50-BE56-BE59-BE57</f>
        <v>#NAME?</v>
      </c>
      <c r="BG47" s="87" t="e">
        <f ca="1">SUM(BG48:BG68)-BG50-BG56-BG59-BG57</f>
        <v>#NAME?</v>
      </c>
      <c r="BH47" s="47"/>
      <c r="BI47" s="88" t="e">
        <f ca="1">SUM(BI48:BI68)-BI50-BI56-BI59-BI57</f>
        <v>#NAME?</v>
      </c>
      <c r="BJ47" s="98">
        <f>SUM(BJ48:BJ67)-BJ50-BJ56</f>
        <v>0</v>
      </c>
      <c r="BK47" s="99" t="e">
        <f ca="1">SUM(BK48:BK68)-BK50-BK56-BK59-BK57</f>
        <v>#NAME?</v>
      </c>
      <c r="BL47" s="53"/>
      <c r="BN47" s="87" t="e">
        <f ca="1">SUM(BN48:BN68)-BN50-BN56-BN59-BN57</f>
        <v>#NAME?</v>
      </c>
      <c r="BO47" s="47"/>
      <c r="BP47" s="88" t="e">
        <f ca="1">SUM(BP48:BP68)-BP50-BP56-BP59-BP57</f>
        <v>#NAME?</v>
      </c>
      <c r="BQ47" s="98">
        <f>SUM(BQ48:BQ67)-BQ50-BQ56</f>
        <v>0</v>
      </c>
      <c r="BR47" s="99" t="e">
        <f ca="1">SUM(BR48:BR68)-BR50-BR56-BR59-BR57</f>
        <v>#NAME?</v>
      </c>
      <c r="BS47" s="53"/>
    </row>
    <row r="48" spans="1:71" s="64" customFormat="1" ht="15" customHeight="1">
      <c r="A48" s="54" t="s">
        <v>313</v>
      </c>
      <c r="B48" s="55" t="s">
        <v>261</v>
      </c>
      <c r="C48" s="55" t="s">
        <v>294</v>
      </c>
      <c r="D48" s="56" t="s">
        <v>263</v>
      </c>
      <c r="E48" s="57" t="e">
        <f ca="1">_xll.GetCtData("CO-AMOUNT","CONS-AMOUNT",$A$1:$A$4,$A48:$B48,E$5:E$10,"#")</f>
        <v>#NAME?</v>
      </c>
      <c r="F48" s="102"/>
      <c r="G48" s="59" t="e">
        <f ca="1">_xll.GetCtData("CO-AMOUNT","CONS-AMOUNT",$A$1:$A$4,$A48:$B48,G$5:G$10,"#930")</f>
        <v>#NAME?</v>
      </c>
      <c r="H48" s="93"/>
      <c r="I48" s="70" t="e">
        <f t="shared" ca="1" si="12"/>
        <v>#NAME?</v>
      </c>
      <c r="J48" s="103"/>
      <c r="K48" s="57" t="e">
        <f ca="1">_xll.GetCtData("CO-AMOUNT","CONS-AMOUNT",$A$1:$A$4,$A48:$B48,K$5:K$10,"#")</f>
        <v>#NAME?</v>
      </c>
      <c r="L48" s="68"/>
      <c r="M48" s="59" t="e">
        <f ca="1">_xll.GetCtData("CO-AMOUNT","CONS-AMOUNT",$A$1:$A$4,$A48:$B48,M$5:M$10,"#-684,5")</f>
        <v>#NAME?</v>
      </c>
      <c r="N48" s="51"/>
      <c r="O48" s="60" t="e">
        <f t="shared" ca="1" si="13"/>
        <v>#NAME?</v>
      </c>
      <c r="P48" s="53"/>
      <c r="Q48" s="57" t="e">
        <f ca="1">_xll.GetCtData("CO-AMOUNT","CONS-AMOUNT",$A$1:$A$4,$A48:$B48,Q$5:Q$10,"#")</f>
        <v>#NAME?</v>
      </c>
      <c r="R48" s="51"/>
      <c r="S48" s="59" t="e">
        <f ca="1">_xll.GetCtData("CO-AMOUNT","CONS-AMOUNT",$A$1:$A$4,$A48:$B48,S$5:S$10,"#245,5")</f>
        <v>#NAME?</v>
      </c>
      <c r="T48" s="51"/>
      <c r="U48" s="70" t="e">
        <f t="shared" ca="1" si="14"/>
        <v>#NAME?</v>
      </c>
      <c r="V48" s="25"/>
      <c r="W48" s="57" t="e">
        <f ca="1">_xll.GetCtData("CO-AMOUNT","CONS-AMOUNT",$A$1:$A$4,$A48:$B48,W$5:W$10,"#")</f>
        <v>#NAME?</v>
      </c>
      <c r="X48" s="51"/>
      <c r="Y48" s="59" t="e">
        <f ca="1">_xll.GetCtData("CO-AMOUNT","CONS-AMOUNT",$A$1:$A$4,$A48:$B48,Y$5:Y$10,"#")</f>
        <v>#NAME?</v>
      </c>
      <c r="Z48" s="51"/>
      <c r="AA48" s="70" t="e">
        <f t="shared" ref="AA48:AA77" ca="1" si="27">W48-Y48</f>
        <v>#NAME?</v>
      </c>
      <c r="AB48" s="53"/>
      <c r="AC48" s="57" t="e">
        <f ca="1">_xll.GetCtData("CO-AMOUNT","CONS-AMOUNT",$A$1:$A$4,$A48:$B48,AC$5:AC$10,"#")</f>
        <v>#NAME?</v>
      </c>
      <c r="AD48" s="51"/>
      <c r="AE48" s="59" t="e">
        <f ca="1">_xll.GetCtData("CO-AMOUNT","CONS-AMOUNT",$A$1:$A$4,$A48:$B48,AE$5:AE$10,"#")</f>
        <v>#NAME?</v>
      </c>
      <c r="AF48" s="51"/>
      <c r="AG48" s="70" t="e">
        <f t="shared" ref="AG48:AG77" ca="1" si="28">AC48-AE48</f>
        <v>#NAME?</v>
      </c>
      <c r="AH48" s="53"/>
      <c r="AI48" s="57" t="e">
        <f ca="1">_xll.GetCtData("CO-AMOUNT","CONS-AMOUNT",$A$1:$A$4,$A48:$B48,AI$5:AI$10,"#")</f>
        <v>#NAME?</v>
      </c>
      <c r="AJ48" s="51"/>
      <c r="AK48" s="59" t="e">
        <f ca="1">_xll.GetCtData("CO-AMOUNT","CONS-AMOUNT",$A$1:$A$4,$A48:$B48,AK$5:AK$10,"#")</f>
        <v>#NAME?</v>
      </c>
      <c r="AL48" s="51"/>
      <c r="AM48" s="70" t="e">
        <f t="shared" ref="AM48:AM77" ca="1" si="29">AI48-AK48</f>
        <v>#NAME?</v>
      </c>
      <c r="AN48" s="53"/>
      <c r="AO48" s="57" t="e">
        <f ca="1">_xll.GetCtData("CO-AMOUNT","CONS-AMOUNT",$A$1:$A$4,$A48:$B48,AO$5:AO$10,"#")</f>
        <v>#NAME?</v>
      </c>
      <c r="AP48" s="51"/>
      <c r="AQ48" s="59" t="e">
        <f ca="1">_xll.GetCtData("CO-AMOUNT","CONS-AMOUNT",$A$1:$A$4,$A48:$B48,AQ$5:AQ$10,"#")</f>
        <v>#NAME?</v>
      </c>
      <c r="AR48" s="51"/>
      <c r="AS48" s="70" t="e">
        <f t="shared" ref="AS48:AS77" ca="1" si="30">AO48-AQ48</f>
        <v>#NAME?</v>
      </c>
      <c r="AT48" s="63"/>
      <c r="AU48" s="57" t="e">
        <f t="shared" ca="1" si="24"/>
        <v>#NAME?</v>
      </c>
      <c r="AV48" s="51"/>
      <c r="AW48" s="59" t="e">
        <f t="shared" ca="1" si="25"/>
        <v>#NAME?</v>
      </c>
      <c r="AX48" s="51"/>
      <c r="AY48" s="70" t="e">
        <f t="shared" ref="AY48:AY77" ca="1" si="31">AU48-AW48</f>
        <v>#NAME?</v>
      </c>
      <c r="BA48" s="57" t="e">
        <f t="shared" ref="BA48:BA95" ca="1" si="32">+Q48-AO48</f>
        <v>#NAME?</v>
      </c>
      <c r="BB48" s="62"/>
      <c r="BC48" s="59" t="e">
        <f t="shared" ref="BC48:BC95" ca="1" si="33">+S48-AQ48</f>
        <v>#NAME?</v>
      </c>
      <c r="BD48" s="62"/>
      <c r="BE48" s="60" t="e">
        <f t="shared" ca="1" si="26"/>
        <v>#NAME?</v>
      </c>
      <c r="BG48" s="57" t="e">
        <f ca="1">_xll.GetCtData("CO-AMOUNT","CONS-AMOUNT",$A$1:$A$4,$A48:$B48,BG$5:BG$10,"#")</f>
        <v>#NAME?</v>
      </c>
      <c r="BH48" s="51"/>
      <c r="BI48" s="59" t="e">
        <f ca="1">_xll.GetCtData("CO-AMOUNT","CONS-AMOUNT",$A$1:$A$4,$A48:$B48,BI$5:BI$10,"#")</f>
        <v>#NAME?</v>
      </c>
      <c r="BJ48" s="51"/>
      <c r="BK48" s="70" t="e">
        <f t="shared" ref="BK48:BK77" ca="1" si="34">BG48-BI48</f>
        <v>#NAME?</v>
      </c>
      <c r="BL48" s="63"/>
      <c r="BN48" s="57" t="e">
        <f ca="1">_xll.GetCtData("CO-AMOUNT","CONS-AMOUNT",$A$1:$A$4,$A48:$B48,BN$5:BN$10,"#")</f>
        <v>#NAME?</v>
      </c>
      <c r="BO48" s="51"/>
      <c r="BP48" s="59" t="e">
        <f ca="1">_xll.GetCtData("CO-AMOUNT","CONS-AMOUNT",$A$1:$A$4,$A48:$B48,BP$5:BP$10,"#")</f>
        <v>#NAME?</v>
      </c>
      <c r="BQ48" s="51"/>
      <c r="BR48" s="70" t="e">
        <f t="shared" ref="BR48:BR77" ca="1" si="35">BN48-BP48</f>
        <v>#NAME?</v>
      </c>
      <c r="BS48" s="63"/>
    </row>
    <row r="49" spans="1:71" s="65" customFormat="1">
      <c r="A49" s="16" t="s">
        <v>314</v>
      </c>
      <c r="B49" s="65" t="s">
        <v>315</v>
      </c>
      <c r="C49" s="65" t="s">
        <v>103</v>
      </c>
      <c r="D49" s="97" t="str">
        <f>CHOOSE([6]Traduction!$A$2,[6]Traduction!$A52,[6]Traduction!$B52)</f>
        <v>o/w UK</v>
      </c>
      <c r="E49" s="67" t="e">
        <f ca="1">_xll.GetCtData("CO-AMOUNT","CONS-AMOUNT",$A$1:$A$4,$A49:$B49,E$5:E$10,"#15362,7978810813")</f>
        <v>#NAME?</v>
      </c>
      <c r="F49" s="93"/>
      <c r="G49" s="69" t="e">
        <f ca="1">_xll.GetCtData("CO-AMOUNT","CONS-AMOUNT",$A$1:$A$4,$A49:$B49,G$5:G$10,"#17116,1254407467")</f>
        <v>#NAME?</v>
      </c>
      <c r="H49" s="93"/>
      <c r="I49" s="70" t="e">
        <f t="shared" ca="1" si="12"/>
        <v>#NAME?</v>
      </c>
      <c r="J49" s="103"/>
      <c r="K49" s="67" t="e">
        <f ca="1">_xll.GetCtData("CO-AMOUNT","CONS-AMOUNT",$A$1:$A$4,$A49:$B49,K$5:K$10,"#-26205,8728447977")</f>
        <v>#NAME?</v>
      </c>
      <c r="L49" s="68"/>
      <c r="M49" s="69" t="e">
        <f ca="1">_xll.GetCtData("CO-AMOUNT","CONS-AMOUNT",$A$1:$A$4,$A49:$B49,M$5:M$10,"#-27176,4175561483")</f>
        <v>#NAME?</v>
      </c>
      <c r="N49" s="51"/>
      <c r="O49" s="70" t="e">
        <f t="shared" ca="1" si="13"/>
        <v>#NAME?</v>
      </c>
      <c r="P49" s="53"/>
      <c r="Q49" s="67" t="e">
        <f ca="1">_xll.GetCtData("CO-AMOUNT","CONS-AMOUNT",$A$1:$A$4,$A49:$B49,Q$5:Q$10,"#-10931,3126842733")</f>
        <v>#NAME?</v>
      </c>
      <c r="R49" s="51"/>
      <c r="S49" s="69" t="e">
        <f ca="1">_xll.GetCtData("CO-AMOUNT","CONS-AMOUNT",$A$1:$A$4,$A49:$B49,S$5:S$10,"#-9989,20385546763")</f>
        <v>#NAME?</v>
      </c>
      <c r="T49" s="51"/>
      <c r="U49" s="70" t="e">
        <f t="shared" ca="1" si="14"/>
        <v>#NAME?</v>
      </c>
      <c r="V49" s="25"/>
      <c r="W49" s="67" t="e">
        <f ca="1">_xll.GetCtData("CO-AMOUNT","CONS-AMOUNT",$A$1:$A$4,$A49:$B49,W$5:W$10,"#-144,995614786716")</f>
        <v>#NAME?</v>
      </c>
      <c r="X49" s="51"/>
      <c r="Y49" s="69" t="e">
        <f ca="1">_xll.GetCtData("CO-AMOUNT","CONS-AMOUNT",$A$1:$A$4,$A49:$B49,Y$5:Y$10,"#-142,109623040263")</f>
        <v>#NAME?</v>
      </c>
      <c r="Z49" s="51"/>
      <c r="AA49" s="70" t="e">
        <f t="shared" ca="1" si="27"/>
        <v>#NAME?</v>
      </c>
      <c r="AB49" s="53"/>
      <c r="AC49" s="67" t="e">
        <f ca="1">_xll.GetCtData("CO-AMOUNT","CONS-AMOUNT",$A$1:$A$4,$A49:$B49,AC$5:AC$10,"#")</f>
        <v>#NAME?</v>
      </c>
      <c r="AD49" s="51"/>
      <c r="AE49" s="69" t="e">
        <f ca="1">_xll.GetCtData("CO-AMOUNT","CONS-AMOUNT",$A$1:$A$4,$A49:$B49,AE$5:AE$10,"#")</f>
        <v>#NAME?</v>
      </c>
      <c r="AF49" s="51"/>
      <c r="AG49" s="70" t="e">
        <f t="shared" ca="1" si="28"/>
        <v>#NAME?</v>
      </c>
      <c r="AH49" s="53"/>
      <c r="AI49" s="67" t="e">
        <f ca="1">_xll.GetCtData("CO-AMOUNT","CONS-AMOUNT",$A$1:$A$4,$A49:$B49,AI$5:AI$10,"#205,815459241732")</f>
        <v>#NAME?</v>
      </c>
      <c r="AJ49" s="51"/>
      <c r="AK49" s="69" t="e">
        <f ca="1">_xll.GetCtData("CO-AMOUNT","CONS-AMOUNT",$A$1:$A$4,$A49:$B49,AK$5:AK$10,"#210,528930229196")</f>
        <v>#NAME?</v>
      </c>
      <c r="AL49" s="51"/>
      <c r="AM49" s="70" t="e">
        <f t="shared" ca="1" si="29"/>
        <v>#NAME?</v>
      </c>
      <c r="AN49" s="53"/>
      <c r="AO49" s="67" t="e">
        <f ca="1">_xll.GetCtData("CO-AMOUNT","CONS-AMOUNT",$A$1:$A$4,$A49:$B49,AO$5:AO$10,"#-1288,53767790285")</f>
        <v>#NAME?</v>
      </c>
      <c r="AP49" s="51"/>
      <c r="AQ49" s="69" t="e">
        <f ca="1">_xll.GetCtData("CO-AMOUNT","CONS-AMOUNT",$A$1:$A$4,$A49:$B49,AQ$5:AQ$10,"#-1442,89767585923")</f>
        <v>#NAME?</v>
      </c>
      <c r="AR49" s="51"/>
      <c r="AS49" s="70" t="e">
        <f t="shared" ca="1" si="30"/>
        <v>#NAME?</v>
      </c>
      <c r="AT49" s="53"/>
      <c r="AU49" s="67" t="e">
        <f t="shared" ca="1" si="24"/>
        <v>#NAME?</v>
      </c>
      <c r="AV49" s="51"/>
      <c r="AW49" s="69" t="e">
        <f t="shared" ca="1" si="25"/>
        <v>#NAME?</v>
      </c>
      <c r="AX49" s="51"/>
      <c r="AY49" s="70" t="e">
        <f t="shared" ca="1" si="31"/>
        <v>#NAME?</v>
      </c>
      <c r="BA49" s="67" t="e">
        <f t="shared" ca="1" si="32"/>
        <v>#NAME?</v>
      </c>
      <c r="BB49" s="51"/>
      <c r="BC49" s="69" t="e">
        <f t="shared" ca="1" si="33"/>
        <v>#NAME?</v>
      </c>
      <c r="BD49" s="51"/>
      <c r="BE49" s="70" t="e">
        <f t="shared" ca="1" si="26"/>
        <v>#NAME?</v>
      </c>
      <c r="BG49" s="67" t="e">
        <f ca="1">_xll.GetCtData("CO-AMOUNT","CONS-AMOUNT",$A$1:$A$4,$A49:$B49,BG$5:BG$10,"#-904,489324742201")</f>
        <v>#NAME?</v>
      </c>
      <c r="BH49" s="51"/>
      <c r="BI49" s="69" t="e">
        <f ca="1">_xll.GetCtData("CO-AMOUNT","CONS-AMOUNT",$A$1:$A$4,$A49:$B49,BI$5:BI$10,"#-1061,75415364393")</f>
        <v>#NAME?</v>
      </c>
      <c r="BJ49" s="51"/>
      <c r="BK49" s="70" t="e">
        <f t="shared" ca="1" si="34"/>
        <v>#NAME?</v>
      </c>
      <c r="BL49" s="53"/>
      <c r="BN49" s="67" t="e">
        <f ca="1">_xll.GetCtData("CO-AMOUNT","CONS-AMOUNT",$A$1:$A$4,$A49:$B49,BN$5:BN$10,"#-384,048353160652")</f>
        <v>#NAME?</v>
      </c>
      <c r="BO49" s="51"/>
      <c r="BP49" s="69" t="e">
        <f ca="1">_xll.GetCtData("CO-AMOUNT","CONS-AMOUNT",$A$1:$A$4,$A49:$B49,BP$5:BP$10,"#-381,1435222153")</f>
        <v>#NAME?</v>
      </c>
      <c r="BQ49" s="51"/>
      <c r="BR49" s="70" t="e">
        <f t="shared" ca="1" si="35"/>
        <v>#NAME?</v>
      </c>
      <c r="BS49" s="53"/>
    </row>
    <row r="50" spans="1:71" s="75" customFormat="1" ht="14.4" outlineLevel="1">
      <c r="A50" s="65" t="s">
        <v>316</v>
      </c>
      <c r="B50" s="65" t="s">
        <v>317</v>
      </c>
      <c r="C50" s="65" t="s">
        <v>318</v>
      </c>
      <c r="D50" s="74" t="s">
        <v>319</v>
      </c>
      <c r="E50" s="104" t="e">
        <f ca="1">_xll.GetCtData("CO-AMOUNT","CONS-AMOUNT",$A$1:$A$4,$A50:$B50,E$5:E$10,"#11653,6879775125")</f>
        <v>#NAME?</v>
      </c>
      <c r="F50" s="105"/>
      <c r="G50" s="106" t="e">
        <f ca="1">_xll.GetCtData("CO-AMOUNT","CONS-AMOUNT",$A$1:$A$4,$A50:$B50,G$5:G$10,"#12886,0429507184")</f>
        <v>#NAME?</v>
      </c>
      <c r="H50" s="107"/>
      <c r="I50" s="80" t="e">
        <f t="shared" ca="1" si="12"/>
        <v>#NAME?</v>
      </c>
      <c r="J50" s="108"/>
      <c r="K50" s="104" t="e">
        <f ca="1">_xll.GetCtData("CO-AMOUNT","CONS-AMOUNT",$A$1:$A$4,$A50:$B50,K$5:K$10,"#-19815,2999561597")</f>
        <v>#NAME?</v>
      </c>
      <c r="L50" s="109"/>
      <c r="M50" s="106" t="e">
        <f ca="1">_xll.GetCtData("CO-AMOUNT","CONS-AMOUNT",$A$1:$A$4,$A50:$B50,M$5:M$10,"#-20487,1638522789")</f>
        <v>#NAME?</v>
      </c>
      <c r="N50" s="82"/>
      <c r="O50" s="110" t="e">
        <f t="shared" ca="1" si="13"/>
        <v>#NAME?</v>
      </c>
      <c r="P50" s="83"/>
      <c r="Q50" s="104" t="e">
        <f ca="1">_xll.GetCtData("CO-AMOUNT","CONS-AMOUNT",$A$1:$A$4,$A50:$B50,Q$5:Q$10,"#-8374,20503275011")</f>
        <v>#NAME?</v>
      </c>
      <c r="R50" s="111"/>
      <c r="S50" s="106" t="e">
        <f ca="1">_xll.GetCtData("CO-AMOUNT","CONS-AMOUNT",$A$1:$A$4,$A50:$B50,S$5:S$10,"#-7811,99238968309")</f>
        <v>#NAME?</v>
      </c>
      <c r="T50" s="82"/>
      <c r="U50" s="96" t="e">
        <f t="shared" ca="1" si="14"/>
        <v>#NAME?</v>
      </c>
      <c r="V50" s="25"/>
      <c r="W50" s="77" t="e">
        <f ca="1">_xll.GetCtData("CO-AMOUNT","AMOUNT",$A$1:$A$4,$A50:$B50,W$5:W$10,"#")</f>
        <v>#NAME?</v>
      </c>
      <c r="X50" s="82"/>
      <c r="Y50" s="79" t="e">
        <f ca="1">_xll.GetCtData("CO-AMOUNT","AMOUNT",$A$1:$A$4,$A50:$B50,Y$5:Y$10,"#")</f>
        <v>#NAME?</v>
      </c>
      <c r="Z50" s="82"/>
      <c r="AA50" s="80" t="e">
        <f t="shared" ca="1" si="27"/>
        <v>#NAME?</v>
      </c>
      <c r="AB50" s="83"/>
      <c r="AC50" s="77" t="e">
        <f ca="1">_xll.GetCtData("CO-AMOUNT","AMOUNT",$A$1:$A$4,$A50:$B50,AC$5:AC$10,"#")</f>
        <v>#NAME?</v>
      </c>
      <c r="AD50" s="82"/>
      <c r="AE50" s="79" t="e">
        <f ca="1">_xll.GetCtData("CO-AMOUNT","AMOUNT",$A$1:$A$4,$A50:$B50,AE$5:AE$10,"#")</f>
        <v>#NAME?</v>
      </c>
      <c r="AF50" s="82"/>
      <c r="AG50" s="80" t="e">
        <f t="shared" ca="1" si="28"/>
        <v>#NAME?</v>
      </c>
      <c r="AH50" s="83"/>
      <c r="AI50" s="77" t="e">
        <f ca="1">_xll.GetCtData("CO-AMOUNT","AMOUNT",$A$1:$A$4,$A50:$B50,AI$5:AI$10,"#")</f>
        <v>#NAME?</v>
      </c>
      <c r="AJ50" s="82"/>
      <c r="AK50" s="79" t="e">
        <f ca="1">_xll.GetCtData("CO-AMOUNT","AMOUNT",$A$1:$A$4,$A50:$B50,AK$5:AK$10,"#")</f>
        <v>#NAME?</v>
      </c>
      <c r="AL50" s="82"/>
      <c r="AM50" s="80" t="e">
        <f t="shared" ca="1" si="29"/>
        <v>#NAME?</v>
      </c>
      <c r="AN50" s="83"/>
      <c r="AO50" s="77" t="e">
        <f ca="1">_xll.GetCtData("CO-AMOUNT","AMOUNT",$A$1:$A$4,$A50:$B50,AO$5:AO$10,"#-833,88")</f>
        <v>#NAME?</v>
      </c>
      <c r="AP50" s="82"/>
      <c r="AQ50" s="79" t="e">
        <f ca="1">_xll.GetCtData("CO-AMOUNT","AMOUNT",$A$1:$A$4,$A50:$B50,AQ$5:AQ$10,"#-934,629")</f>
        <v>#NAME?</v>
      </c>
      <c r="AR50" s="82"/>
      <c r="AS50" s="80" t="e">
        <f t="shared" ca="1" si="30"/>
        <v>#NAME?</v>
      </c>
      <c r="AT50" s="83"/>
      <c r="AU50" s="77" t="e">
        <f t="shared" ca="1" si="24"/>
        <v>#NAME?</v>
      </c>
      <c r="AV50" s="82"/>
      <c r="AW50" s="79" t="e">
        <f t="shared" ca="1" si="25"/>
        <v>#NAME?</v>
      </c>
      <c r="AX50" s="82"/>
      <c r="AY50" s="80" t="e">
        <f t="shared" ca="1" si="31"/>
        <v>#NAME?</v>
      </c>
      <c r="BA50" s="77" t="e">
        <f t="shared" ca="1" si="32"/>
        <v>#NAME?</v>
      </c>
      <c r="BB50" s="82"/>
      <c r="BC50" s="79" t="e">
        <f t="shared" ca="1" si="33"/>
        <v>#NAME?</v>
      </c>
      <c r="BD50" s="82"/>
      <c r="BE50" s="96" t="e">
        <f t="shared" ca="1" si="26"/>
        <v>#NAME?</v>
      </c>
      <c r="BG50" s="77" t="e">
        <f ca="1">_xll.GetCtData("CO-AMOUNT","AMOUNT",$A$1:$A$4,$A50:$B50,BG$5:BG$10,"#-585,35")</f>
        <v>#NAME?</v>
      </c>
      <c r="BH50" s="82"/>
      <c r="BI50" s="79" t="e">
        <f ca="1">_xll.GetCtData("CO-AMOUNT","AMOUNT",$A$1:$A$4,$A50:$B50,BI$5:BI$10,"#-687,755")</f>
        <v>#NAME?</v>
      </c>
      <c r="BJ50" s="82"/>
      <c r="BK50" s="80" t="e">
        <f t="shared" ca="1" si="34"/>
        <v>#NAME?</v>
      </c>
      <c r="BL50" s="83"/>
      <c r="BN50" s="77" t="e">
        <f ca="1">_xll.GetCtData("CO-AMOUNT","AMOUNT",$A$1:$A$4,$A50:$B50,BN$5:BN$10,"#-248,53")</f>
        <v>#NAME?</v>
      </c>
      <c r="BO50" s="82"/>
      <c r="BP50" s="79" t="e">
        <f ca="1">_xll.GetCtData("CO-AMOUNT","AMOUNT",$A$1:$A$4,$A50:$B50,BP$5:BP$10,"#-246,874")</f>
        <v>#NAME?</v>
      </c>
      <c r="BQ50" s="82"/>
      <c r="BR50" s="80" t="e">
        <f t="shared" ca="1" si="35"/>
        <v>#NAME?</v>
      </c>
      <c r="BS50" s="83"/>
    </row>
    <row r="51" spans="1:71" s="75" customFormat="1" ht="14.4">
      <c r="A51" s="65" t="s">
        <v>320</v>
      </c>
      <c r="B51" s="65" t="s">
        <v>317</v>
      </c>
      <c r="C51" s="65" t="s">
        <v>103</v>
      </c>
      <c r="D51" s="74" t="s">
        <v>321</v>
      </c>
      <c r="E51" s="104" t="e">
        <f ca="1">_xll.GetCtData("CO-AMOUNT","CONS-AMOUNT",$A$1:$A$4,$A51:$B51,E$5:E$10,"#3709,10990356879")</f>
        <v>#NAME?</v>
      </c>
      <c r="F51" s="105"/>
      <c r="G51" s="106" t="e">
        <f ca="1">_xll.GetCtData("CO-AMOUNT","CONS-AMOUNT",$A$1:$A$4,$A51:$B51,G$5:G$10,"#4230,08249002837")</f>
        <v>#NAME?</v>
      </c>
      <c r="H51" s="107"/>
      <c r="I51" s="110" t="e">
        <f t="shared" ca="1" si="12"/>
        <v>#NAME?</v>
      </c>
      <c r="J51" s="108"/>
      <c r="K51" s="104" t="e">
        <f ca="1">_xll.GetCtData("CO-AMOUNT","CONS-AMOUNT",$A$1:$A$4,$A51:$B51,K$5:K$10,"#-6390,57288863795")</f>
        <v>#NAME?</v>
      </c>
      <c r="L51" s="109"/>
      <c r="M51" s="106" t="e">
        <f ca="1">_xll.GetCtData("CO-AMOUNT","CONS-AMOUNT",$A$1:$A$4,$A51:$B51,M$5:M$10,"#-6689,25370386945")</f>
        <v>#NAME?</v>
      </c>
      <c r="N51" s="82"/>
      <c r="O51" s="110" t="e">
        <f t="shared" ca="1" si="13"/>
        <v>#NAME?</v>
      </c>
      <c r="P51" s="83"/>
      <c r="Q51" s="104" t="e">
        <f ca="1">_xll.GetCtData("CO-AMOUNT","CONS-AMOUNT",$A$1:$A$4,$A51:$B51,Q$5:Q$10,"#-2557,10765152316")</f>
        <v>#NAME?</v>
      </c>
      <c r="R51" s="111"/>
      <c r="S51" s="106" t="e">
        <f ca="1">_xll.GetCtData("CO-AMOUNT","CONS-AMOUNT",$A$1:$A$4,$A51:$B51,S$5:S$10,"#-2177,21146578454")</f>
        <v>#NAME?</v>
      </c>
      <c r="T51" s="82"/>
      <c r="U51" s="96" t="e">
        <f t="shared" ca="1" si="14"/>
        <v>#NAME?</v>
      </c>
      <c r="V51" s="25"/>
      <c r="W51" s="77"/>
      <c r="X51" s="82"/>
      <c r="Y51" s="79"/>
      <c r="Z51" s="82"/>
      <c r="AA51" s="80"/>
      <c r="AB51" s="83"/>
      <c r="AC51" s="77"/>
      <c r="AD51" s="82"/>
      <c r="AE51" s="79"/>
      <c r="AF51" s="82"/>
      <c r="AG51" s="80"/>
      <c r="AH51" s="83"/>
      <c r="AI51" s="77"/>
      <c r="AJ51" s="82"/>
      <c r="AK51" s="79"/>
      <c r="AL51" s="82"/>
      <c r="AM51" s="80"/>
      <c r="AN51" s="83"/>
      <c r="AO51" s="77"/>
      <c r="AP51" s="82"/>
      <c r="AQ51" s="79"/>
      <c r="AR51" s="82"/>
      <c r="AS51" s="80"/>
      <c r="AT51" s="83"/>
      <c r="AU51" s="77"/>
      <c r="AV51" s="82"/>
      <c r="AW51" s="79"/>
      <c r="AX51" s="82"/>
      <c r="AY51" s="80"/>
      <c r="BA51" s="77"/>
      <c r="BB51" s="82"/>
      <c r="BC51" s="79"/>
      <c r="BD51" s="82"/>
      <c r="BE51" s="96"/>
      <c r="BG51" s="77"/>
      <c r="BH51" s="82"/>
      <c r="BI51" s="79"/>
      <c r="BJ51" s="82"/>
      <c r="BK51" s="80"/>
      <c r="BL51" s="83"/>
      <c r="BN51" s="77"/>
      <c r="BO51" s="82"/>
      <c r="BP51" s="79"/>
      <c r="BQ51" s="82"/>
      <c r="BR51" s="80"/>
      <c r="BS51" s="83"/>
    </row>
    <row r="52" spans="1:71" s="75" customFormat="1" ht="14.4" outlineLevel="1">
      <c r="A52" s="16" t="s">
        <v>314</v>
      </c>
      <c r="B52" s="65" t="s">
        <v>315</v>
      </c>
      <c r="C52" s="65" t="s">
        <v>103</v>
      </c>
      <c r="D52" s="112" t="s">
        <v>322</v>
      </c>
      <c r="E52" s="113" t="e">
        <f ca="1">_xll.GetCtData("CO-AMOUNT","AMOUNT",$A$1:$A$4,$A52:$B52,E$5:E$10,"#13339,55")</f>
        <v>#NAME?</v>
      </c>
      <c r="F52" s="114"/>
      <c r="G52" s="79" t="e">
        <f ca="1">_xll.GetCtData("CO-AMOUNT","AMOUNT",$A$1:$A$4,$A52:$B52,G$5:G$10,"#14839,796")</f>
        <v>#NAME?</v>
      </c>
      <c r="H52" s="115"/>
      <c r="I52" s="116" t="e">
        <f ca="1">E52-G52</f>
        <v>#NAME?</v>
      </c>
      <c r="J52" s="117"/>
      <c r="K52" s="113" t="e">
        <f ca="1">_xll.GetCtData("CO-AMOUNT","AMOUNT",$A$1:$A$4,$A52:$B52,K$5:K$10,"#-22754,615")</f>
        <v>#NAME?</v>
      </c>
      <c r="L52" s="118"/>
      <c r="M52" s="119" t="e">
        <f ca="1">_xll.GetCtData("CO-AMOUNT","AMOUNT",$A$1:$A$4,$A52:$B52,M$5:M$10,"#-23562,137")</f>
        <v>#NAME?</v>
      </c>
      <c r="N52" s="82"/>
      <c r="O52" s="90" t="e">
        <f ca="1">K52-M52</f>
        <v>#NAME?</v>
      </c>
      <c r="P52" s="83"/>
      <c r="Q52" s="113" t="e">
        <f ca="1">_xll.GetCtData("CO-AMOUNT","AMOUNT",$A$1:$A$4,$A52:$B52,Q$5:Q$10,"#-9491,682")</f>
        <v>#NAME?</v>
      </c>
      <c r="R52" s="111"/>
      <c r="S52" s="119" t="e">
        <f ca="1">_xll.GetCtData("CO-AMOUNT","AMOUNT",$A$1:$A$4,$A52:$B52,S$5:S$10,"#-8660,707")</f>
        <v>#NAME?</v>
      </c>
      <c r="T52" s="82"/>
      <c r="U52" s="70" t="e">
        <f ca="1">Q52-S52</f>
        <v>#NAME?</v>
      </c>
      <c r="V52" s="25"/>
      <c r="W52" s="77"/>
      <c r="X52" s="82"/>
      <c r="Y52" s="79"/>
      <c r="Z52" s="82"/>
      <c r="AA52" s="80"/>
      <c r="AB52" s="83"/>
      <c r="AC52" s="77"/>
      <c r="AD52" s="82"/>
      <c r="AE52" s="79"/>
      <c r="AF52" s="82"/>
      <c r="AG52" s="80"/>
      <c r="AH52" s="83"/>
      <c r="AI52" s="77"/>
      <c r="AJ52" s="82"/>
      <c r="AK52" s="79"/>
      <c r="AL52" s="82"/>
      <c r="AM52" s="80"/>
      <c r="AN52" s="83"/>
      <c r="AO52" s="77"/>
      <c r="AP52" s="82"/>
      <c r="AQ52" s="79"/>
      <c r="AR52" s="82"/>
      <c r="AS52" s="80"/>
      <c r="AT52" s="83"/>
      <c r="AU52" s="77"/>
      <c r="AV52" s="82"/>
      <c r="AW52" s="79"/>
      <c r="AX52" s="82"/>
      <c r="AY52" s="80"/>
      <c r="BA52" s="77"/>
      <c r="BB52" s="82"/>
      <c r="BC52" s="79"/>
      <c r="BD52" s="82"/>
      <c r="BE52" s="96"/>
      <c r="BG52" s="77"/>
      <c r="BH52" s="82"/>
      <c r="BI52" s="79"/>
      <c r="BJ52" s="82"/>
      <c r="BK52" s="80"/>
      <c r="BL52" s="83"/>
      <c r="BN52" s="77"/>
      <c r="BO52" s="82"/>
      <c r="BP52" s="79"/>
      <c r="BQ52" s="82"/>
      <c r="BR52" s="80"/>
      <c r="BS52" s="83"/>
    </row>
    <row r="53" spans="1:71" s="75" customFormat="1" ht="14.4" outlineLevel="1">
      <c r="A53" s="65" t="s">
        <v>316</v>
      </c>
      <c r="B53" s="65" t="s">
        <v>317</v>
      </c>
      <c r="C53" s="65"/>
      <c r="D53" s="120" t="s">
        <v>323</v>
      </c>
      <c r="E53" s="77" t="e">
        <f ca="1">_xll.GetCtData("CO-AMOUNT","AMOUNT",$A$1:$A$4,$A53:$B53,E$5:E$10,"#10118,922")</f>
        <v>#NAME?</v>
      </c>
      <c r="F53" s="107"/>
      <c r="G53" s="79" t="e">
        <f ca="1">_xll.GetCtData("CO-AMOUNT","AMOUNT",$A$1:$A$4,$A53:$B53,G$5:G$10,"#11172,286")</f>
        <v>#NAME?</v>
      </c>
      <c r="H53" s="107"/>
      <c r="I53" s="80" t="e">
        <f t="shared" ca="1" si="12"/>
        <v>#NAME?</v>
      </c>
      <c r="J53" s="108"/>
      <c r="K53" s="77" t="e">
        <f ca="1">_xll.GetCtData("CO-AMOUNT","AMOUNT",$A$1:$A$4,$A53:$B53,K$5:K$10,"#-17205,667")</f>
        <v>#NAME?</v>
      </c>
      <c r="L53" s="78"/>
      <c r="M53" s="79" t="e">
        <f ca="1">_xll.GetCtData("CO-AMOUNT","AMOUNT",$A$1:$A$4,$A53:$B53,M$5:M$10,"#-17762,509")</f>
        <v>#NAME?</v>
      </c>
      <c r="N53" s="82"/>
      <c r="O53" s="121" t="e">
        <f t="shared" ca="1" si="13"/>
        <v>#NAME?</v>
      </c>
      <c r="P53" s="83"/>
      <c r="Q53" s="77" t="e">
        <f ca="1">_xll.GetCtData("CO-AMOUNT","AMOUNT",$A$1:$A$4,$A53:$B53,Q$5:Q$10,"#-7271,34")</f>
        <v>#NAME?</v>
      </c>
      <c r="R53" s="82"/>
      <c r="S53" s="79" t="e">
        <f ca="1">_xll.GetCtData("CO-AMOUNT","AMOUNT",$A$1:$A$4,$A53:$B53,S$5:S$10,"#-6773,04999999999")</f>
        <v>#NAME?</v>
      </c>
      <c r="T53" s="82"/>
      <c r="U53" s="96" t="e">
        <f t="shared" ca="1" si="14"/>
        <v>#NAME?</v>
      </c>
      <c r="V53" s="25"/>
      <c r="W53" s="77"/>
      <c r="X53" s="82"/>
      <c r="Y53" s="79"/>
      <c r="Z53" s="82"/>
      <c r="AA53" s="80"/>
      <c r="AB53" s="83"/>
      <c r="AC53" s="77"/>
      <c r="AD53" s="82"/>
      <c r="AE53" s="79"/>
      <c r="AF53" s="82"/>
      <c r="AG53" s="80"/>
      <c r="AH53" s="83"/>
      <c r="AI53" s="77"/>
      <c r="AJ53" s="82"/>
      <c r="AK53" s="79"/>
      <c r="AL53" s="82"/>
      <c r="AM53" s="80"/>
      <c r="AN53" s="83"/>
      <c r="AO53" s="77"/>
      <c r="AP53" s="82"/>
      <c r="AQ53" s="79"/>
      <c r="AR53" s="82"/>
      <c r="AS53" s="80"/>
      <c r="AT53" s="83"/>
      <c r="AU53" s="77"/>
      <c r="AV53" s="82"/>
      <c r="AW53" s="79"/>
      <c r="AX53" s="82"/>
      <c r="AY53" s="80"/>
      <c r="BA53" s="77"/>
      <c r="BB53" s="82"/>
      <c r="BC53" s="79"/>
      <c r="BD53" s="82"/>
      <c r="BE53" s="96"/>
      <c r="BG53" s="77"/>
      <c r="BH53" s="82"/>
      <c r="BI53" s="79"/>
      <c r="BJ53" s="82"/>
      <c r="BK53" s="80"/>
      <c r="BL53" s="83"/>
      <c r="BN53" s="77"/>
      <c r="BO53" s="82"/>
      <c r="BP53" s="79"/>
      <c r="BQ53" s="82"/>
      <c r="BR53" s="80"/>
      <c r="BS53" s="83"/>
    </row>
    <row r="54" spans="1:71" s="75" customFormat="1" ht="14.4" outlineLevel="1">
      <c r="A54" s="65" t="s">
        <v>320</v>
      </c>
      <c r="B54" s="65" t="s">
        <v>317</v>
      </c>
      <c r="C54" s="65" t="s">
        <v>103</v>
      </c>
      <c r="D54" s="122" t="s">
        <v>324</v>
      </c>
      <c r="E54" s="77" t="e">
        <f ca="1">_xll.GetCtData("CO-AMOUNT","AMOUNT",$A$1:$A$4,$A54:$B54,E$5:E$10,"#3220,628")</f>
        <v>#NAME?</v>
      </c>
      <c r="F54" s="107"/>
      <c r="G54" s="79" t="e">
        <f ca="1">_xll.GetCtData("CO-AMOUNT","AMOUNT",$A$1:$A$4,$A54:$B54,G$5:G$10,"#3667,51")</f>
        <v>#NAME?</v>
      </c>
      <c r="H54" s="107"/>
      <c r="I54" s="80" t="e">
        <f t="shared" ca="1" si="12"/>
        <v>#NAME?</v>
      </c>
      <c r="J54" s="108"/>
      <c r="K54" s="77" t="e">
        <f ca="1">_xll.GetCtData("CO-AMOUNT","AMOUNT",$A$1:$A$4,$A54:$B54,K$5:K$10,"#-5548,948")</f>
        <v>#NAME?</v>
      </c>
      <c r="L54" s="78"/>
      <c r="M54" s="79" t="e">
        <f ca="1">_xll.GetCtData("CO-AMOUNT","AMOUNT",$A$1:$A$4,$A54:$B54,M$5:M$10,"#-5799,628")</f>
        <v>#NAME?</v>
      </c>
      <c r="N54" s="82"/>
      <c r="O54" s="121" t="e">
        <f t="shared" ca="1" si="13"/>
        <v>#NAME?</v>
      </c>
      <c r="P54" s="83"/>
      <c r="Q54" s="77" t="e">
        <f ca="1">_xll.GetCtData("CO-AMOUNT","AMOUNT",$A$1:$A$4,$A54:$B54,Q$5:Q$10,"#-2220,342")</f>
        <v>#NAME?</v>
      </c>
      <c r="R54" s="82"/>
      <c r="S54" s="79" t="e">
        <f ca="1">_xll.GetCtData("CO-AMOUNT","AMOUNT",$A$1:$A$4,$A54:$B54,S$5:S$10,"#-1887,657")</f>
        <v>#NAME?</v>
      </c>
      <c r="T54" s="82"/>
      <c r="U54" s="96" t="e">
        <f t="shared" ca="1" si="14"/>
        <v>#NAME?</v>
      </c>
      <c r="V54" s="25"/>
      <c r="W54" s="77"/>
      <c r="X54" s="82"/>
      <c r="Y54" s="79"/>
      <c r="Z54" s="82"/>
      <c r="AA54" s="80"/>
      <c r="AB54" s="83"/>
      <c r="AC54" s="77"/>
      <c r="AD54" s="82"/>
      <c r="AE54" s="79"/>
      <c r="AF54" s="82"/>
      <c r="AG54" s="80"/>
      <c r="AH54" s="83"/>
      <c r="AI54" s="77"/>
      <c r="AJ54" s="82"/>
      <c r="AK54" s="79"/>
      <c r="AL54" s="82"/>
      <c r="AM54" s="80"/>
      <c r="AN54" s="83"/>
      <c r="AO54" s="77"/>
      <c r="AP54" s="82"/>
      <c r="AQ54" s="79"/>
      <c r="AR54" s="82"/>
      <c r="AS54" s="80"/>
      <c r="AT54" s="83"/>
      <c r="AU54" s="77"/>
      <c r="AV54" s="82"/>
      <c r="AW54" s="79"/>
      <c r="AX54" s="82"/>
      <c r="AY54" s="80"/>
      <c r="BA54" s="77"/>
      <c r="BB54" s="82"/>
      <c r="BC54" s="79"/>
      <c r="BD54" s="82"/>
      <c r="BE54" s="96"/>
      <c r="BG54" s="77"/>
      <c r="BH54" s="82"/>
      <c r="BI54" s="79"/>
      <c r="BJ54" s="82"/>
      <c r="BK54" s="80"/>
      <c r="BL54" s="83"/>
      <c r="BN54" s="77"/>
      <c r="BO54" s="82"/>
      <c r="BP54" s="79"/>
      <c r="BQ54" s="82"/>
      <c r="BR54" s="80"/>
      <c r="BS54" s="83"/>
    </row>
    <row r="55" spans="1:71" s="65" customFormat="1">
      <c r="A55" s="16" t="s">
        <v>313</v>
      </c>
      <c r="B55" s="65" t="s">
        <v>325</v>
      </c>
      <c r="C55" s="65" t="s">
        <v>262</v>
      </c>
      <c r="D55" s="97" t="str">
        <f>CHOOSE([6]Traduction!$A$2,[6]Traduction!$A45,[6]Traduction!$B45)</f>
        <v>o/w France</v>
      </c>
      <c r="E55" s="67" t="e">
        <f ca="1">_xll.GetCtData("CO-AMOUNT","CONS-AMOUNT",$A$1:$A$4,$A55:$B55,E$5:E$10,"#25752,536")-E92</f>
        <v>#NAME?</v>
      </c>
      <c r="F55" s="93"/>
      <c r="G55" s="69" t="e">
        <f ca="1">_xll.GetCtData("CO-AMOUNT","CONS-AMOUNT",$A$1:$A$4,$A55:$B55,G$5:G$10,"#26491,339")-G92</f>
        <v>#NAME?</v>
      </c>
      <c r="H55" s="93"/>
      <c r="I55" s="70" t="e">
        <f t="shared" ca="1" si="12"/>
        <v>#NAME?</v>
      </c>
      <c r="J55" s="103"/>
      <c r="K55" s="67" t="e">
        <f ca="1">_xll.GetCtData("CO-AMOUNT","CONS-AMOUNT",$A$1:$A$4,$A55:$B55,K$5:K$10,"#-30349,721")-K92</f>
        <v>#NAME?</v>
      </c>
      <c r="L55" s="68"/>
      <c r="M55" s="69" t="e">
        <f ca="1">_xll.GetCtData("CO-AMOUNT","CONS-AMOUNT",$A$1:$A$4,$A55:$B55,M$5:M$10,"#-30744,635")-M92</f>
        <v>#NAME?</v>
      </c>
      <c r="N55" s="51"/>
      <c r="O55" s="70" t="e">
        <f t="shared" ca="1" si="13"/>
        <v>#NAME?</v>
      </c>
      <c r="P55" s="53"/>
      <c r="Q55" s="67" t="e">
        <f ca="1">_xll.GetCtData("CO-AMOUNT","CONS-AMOUNT",$A$1:$A$4,$A55:$B55,Q$5:Q$10,"#-4724,692")-Q92</f>
        <v>#NAME?</v>
      </c>
      <c r="R55" s="51"/>
      <c r="S55" s="69" t="e">
        <f ca="1">_xll.GetCtData("CO-AMOUNT","CONS-AMOUNT",$A$1:$A$4,$A55:$B55,S$5:S$10,"#-4328,296")-S92</f>
        <v>#NAME?</v>
      </c>
      <c r="T55" s="51"/>
      <c r="U55" s="70" t="e">
        <f t="shared" ca="1" si="14"/>
        <v>#NAME?</v>
      </c>
      <c r="V55" s="25"/>
      <c r="W55" s="67" t="e">
        <f ca="1">_xll.GetCtData("CO-AMOUNT","CONS-AMOUNT",$A$1:$A$4,$A55:$B55,W$5:W$10,"#-218,085")-W92</f>
        <v>#NAME?</v>
      </c>
      <c r="X55" s="51"/>
      <c r="Y55" s="69" t="e">
        <f ca="1">_xll.GetCtData("CO-AMOUNT","CONS-AMOUNT",$A$1:$A$4,$A55:$B55,Y$5:Y$10,"#-145,417")-Y92</f>
        <v>#NAME?</v>
      </c>
      <c r="Z55" s="51"/>
      <c r="AA55" s="70" t="e">
        <f t="shared" ca="1" si="27"/>
        <v>#NAME?</v>
      </c>
      <c r="AB55" s="53"/>
      <c r="AC55" s="67" t="e">
        <f ca="1">_xll.GetCtData("CO-AMOUNT","CONS-AMOUNT",$A$1:$A$4,$A55:$B55,AC$5:AC$10,"#")-AC92</f>
        <v>#NAME?</v>
      </c>
      <c r="AD55" s="51"/>
      <c r="AE55" s="69" t="e">
        <f ca="1">_xll.GetCtData("CO-AMOUNT","CONS-AMOUNT",$A$1:$A$4,$A55:$B55,AE$5:AE$10,"#")-AE92</f>
        <v>#NAME?</v>
      </c>
      <c r="AF55" s="51"/>
      <c r="AG55" s="70" t="e">
        <f t="shared" ca="1" si="28"/>
        <v>#NAME?</v>
      </c>
      <c r="AH55" s="53"/>
      <c r="AI55" s="67" t="e">
        <f ca="1">_xll.GetCtData("CO-AMOUNT","CONS-AMOUNT",$A$1:$A$4,$A55:$B55,AI$5:AI$10,"#-309,395")-AI92</f>
        <v>#NAME?</v>
      </c>
      <c r="AJ55" s="51"/>
      <c r="AK55" s="69" t="e">
        <f ca="1">_xll.GetCtData("CO-AMOUNT","CONS-AMOUNT",$A$1:$A$4,$A55:$B55,AK$5:AK$10,"#-206,135")-AK92</f>
        <v>#NAME?</v>
      </c>
      <c r="AL55" s="51"/>
      <c r="AM55" s="70" t="e">
        <f t="shared" ca="1" si="29"/>
        <v>#NAME?</v>
      </c>
      <c r="AN55" s="53"/>
      <c r="AO55" s="67" t="e">
        <f ca="1">_xll.GetCtData("CO-AMOUNT","CONS-AMOUNT",$A$1:$A$4,$A55:$B55,AO$5:AO$10,"#-6598,033")-AO92</f>
        <v>#NAME?</v>
      </c>
      <c r="AP55" s="51"/>
      <c r="AQ55" s="69" t="e">
        <f ca="1">_xll.GetCtData("CO-AMOUNT","CONS-AMOUNT",$A$1:$A$4,$A55:$B55,AQ$5:AQ$10,"#-6601,72")-AQ92</f>
        <v>#NAME?</v>
      </c>
      <c r="AR55" s="51"/>
      <c r="AS55" s="70" t="e">
        <f t="shared" ca="1" si="30"/>
        <v>#NAME?</v>
      </c>
      <c r="AT55" s="53"/>
      <c r="AU55" s="67" t="e">
        <f t="shared" ca="1" si="24"/>
        <v>#NAME?</v>
      </c>
      <c r="AV55" s="51"/>
      <c r="AW55" s="69" t="e">
        <f t="shared" ca="1" si="25"/>
        <v>#NAME?</v>
      </c>
      <c r="AX55" s="51"/>
      <c r="AY55" s="70" t="e">
        <f t="shared" ca="1" si="31"/>
        <v>#NAME?</v>
      </c>
      <c r="BA55" s="67" t="e">
        <f t="shared" ca="1" si="32"/>
        <v>#NAME?</v>
      </c>
      <c r="BB55" s="51"/>
      <c r="BC55" s="69" t="e">
        <f t="shared" ca="1" si="33"/>
        <v>#NAME?</v>
      </c>
      <c r="BD55" s="51"/>
      <c r="BE55" s="70" t="e">
        <f t="shared" ca="1" si="26"/>
        <v>#NAME?</v>
      </c>
      <c r="BG55" s="67" t="e">
        <f ca="1">_xll.GetCtData("CO-AMOUNT","CONS-AMOUNT",$A$1:$A$4,$A55:$B55,BG$5:BG$10,"#-6290,398")-BG92</f>
        <v>#NAME?</v>
      </c>
      <c r="BH55" s="51"/>
      <c r="BI55" s="69" t="e">
        <f ca="1">_xll.GetCtData("CO-AMOUNT","CONS-AMOUNT",$A$1:$A$4,$A55:$B55,BI$5:BI$10,"#-6290,348")-BI92</f>
        <v>#NAME?</v>
      </c>
      <c r="BJ55" s="51"/>
      <c r="BK55" s="70" t="e">
        <f t="shared" ca="1" si="34"/>
        <v>#NAME?</v>
      </c>
      <c r="BL55" s="53"/>
      <c r="BN55" s="67" t="e">
        <f ca="1">_xll.GetCtData("CO-AMOUNT","CONS-AMOUNT",$A$1:$A$4,$A55:$B55,BN$5:BN$10,"#-307,635")-BN92</f>
        <v>#NAME?</v>
      </c>
      <c r="BO55" s="51"/>
      <c r="BP55" s="69" t="e">
        <f ca="1">_xll.GetCtData("CO-AMOUNT","CONS-AMOUNT",$A$1:$A$4,$A55:$B55,BP$5:BP$10,"#-311,372")-BP92</f>
        <v>#NAME?</v>
      </c>
      <c r="BQ55" s="51"/>
      <c r="BR55" s="70" t="e">
        <f t="shared" ca="1" si="35"/>
        <v>#NAME?</v>
      </c>
      <c r="BS55" s="53"/>
    </row>
    <row r="56" spans="1:71" s="123" customFormat="1" ht="14.4" outlineLevel="1">
      <c r="A56" s="123" t="s">
        <v>326</v>
      </c>
      <c r="B56" s="123" t="s">
        <v>267</v>
      </c>
      <c r="D56" s="124" t="str">
        <f>CHOOSE([6]Traduction!$A$2,[6]Traduction!$A68,[6]Traduction!$B68)</f>
        <v>o/w residential</v>
      </c>
      <c r="E56" s="125" t="e">
        <f ca="1">_xll.GetCtData("CO-AMOUNT","CONS-AMOUNT",$A$1:$A$4,$A56:$B56,E$5:E$10,"#")</f>
        <v>#NAME?</v>
      </c>
      <c r="F56" s="126"/>
      <c r="G56" s="127" t="e">
        <f ca="1">_xll.GetCtData("CO-AMOUNT","CONS-AMOUNT",$A$1:$A$4,$A56:$B56,G$5:G$10,"#1042,088")</f>
        <v>#NAME?</v>
      </c>
      <c r="H56" s="128"/>
      <c r="I56" s="96" t="e">
        <f t="shared" ca="1" si="12"/>
        <v>#NAME?</v>
      </c>
      <c r="J56" s="129"/>
      <c r="K56" s="125" t="e">
        <f ca="1">_xll.GetCtData("CO-AMOUNT","CONS-AMOUNT",$A$1:$A$4,$A56:$B56,K$5:K$10,"#")</f>
        <v>#NAME?</v>
      </c>
      <c r="L56" s="126"/>
      <c r="M56" s="127" t="e">
        <f ca="1">_xll.GetCtData("CO-AMOUNT","CONS-AMOUNT",$A$1:$A$4,$A56:$B56,M$5:M$10,"#-1283,16")</f>
        <v>#NAME?</v>
      </c>
      <c r="N56" s="128"/>
      <c r="O56" s="70" t="e">
        <f t="shared" ca="1" si="13"/>
        <v>#NAME?</v>
      </c>
      <c r="P56" s="129"/>
      <c r="Q56" s="125" t="e">
        <f ca="1">_xll.GetCtData("CO-AMOUNT","CONS-AMOUNT",$A$1:$A$4,$A56:$B56,Q$5:Q$10,"#")</f>
        <v>#NAME?</v>
      </c>
      <c r="R56" s="126"/>
      <c r="S56" s="127" t="e">
        <f ca="1">_xll.GetCtData("CO-AMOUNT","CONS-AMOUNT",$A$1:$A$4,$A56:$B56,S$5:S$10,"#-241,072")</f>
        <v>#NAME?</v>
      </c>
      <c r="T56" s="128"/>
      <c r="U56" s="96" t="e">
        <f t="shared" ca="1" si="14"/>
        <v>#NAME?</v>
      </c>
      <c r="V56" s="25"/>
      <c r="W56" s="125" t="e">
        <f ca="1">_xll.GetCtData("CO-AMOUNT","CONS-AMOUNT",$A$1:$A$4,$A56:$B56,W$5:W$10,"#")</f>
        <v>#NAME?</v>
      </c>
      <c r="X56" s="126"/>
      <c r="Y56" s="127" t="e">
        <f ca="1">_xll.GetCtData("CO-AMOUNT","CONS-AMOUNT",$A$1:$A$4,$A56:$B56,Y$5:Y$10,"#")</f>
        <v>#NAME?</v>
      </c>
      <c r="Z56" s="128"/>
      <c r="AA56" s="96" t="e">
        <f t="shared" ca="1" si="27"/>
        <v>#NAME?</v>
      </c>
      <c r="AB56" s="129"/>
      <c r="AC56" s="125" t="e">
        <f ca="1">_xll.GetCtData("CO-AMOUNT","CONS-AMOUNT",$A$1:$A$4,$A56:$B56,AC$5:AC$10,"#")</f>
        <v>#NAME?</v>
      </c>
      <c r="AD56" s="126"/>
      <c r="AE56" s="127" t="e">
        <f ca="1">_xll.GetCtData("CO-AMOUNT","CONS-AMOUNT",$A$1:$A$4,$A56:$B56,AE$5:AE$10,"#")</f>
        <v>#NAME?</v>
      </c>
      <c r="AF56" s="128"/>
      <c r="AG56" s="96" t="e">
        <f t="shared" ca="1" si="28"/>
        <v>#NAME?</v>
      </c>
      <c r="AH56" s="129"/>
      <c r="AI56" s="125" t="e">
        <f ca="1">_xll.GetCtData("CO-AMOUNT","CONS-AMOUNT",$A$1:$A$4,$A56:$B56,AI$5:AI$10,"#")</f>
        <v>#NAME?</v>
      </c>
      <c r="AJ56" s="126"/>
      <c r="AK56" s="127" t="e">
        <f ca="1">_xll.GetCtData("CO-AMOUNT","CONS-AMOUNT",$A$1:$A$4,$A56:$B56,AK$5:AK$10,"#")</f>
        <v>#NAME?</v>
      </c>
      <c r="AL56" s="128"/>
      <c r="AM56" s="96" t="e">
        <f t="shared" ca="1" si="29"/>
        <v>#NAME?</v>
      </c>
      <c r="AN56" s="129"/>
      <c r="AO56" s="125" t="e">
        <f ca="1">_xll.GetCtData("CO-AMOUNT","CONS-AMOUNT",$A$1:$A$4,$A56:$B56,AO$5:AO$10,"#")</f>
        <v>#NAME?</v>
      </c>
      <c r="AP56" s="126"/>
      <c r="AQ56" s="127" t="e">
        <f ca="1">_xll.GetCtData("CO-AMOUNT","CONS-AMOUNT",$A$1:$A$4,$A56:$B56,AQ$5:AQ$10,"#-275,133")</f>
        <v>#NAME?</v>
      </c>
      <c r="AR56" s="128"/>
      <c r="AS56" s="96" t="e">
        <f t="shared" ca="1" si="30"/>
        <v>#NAME?</v>
      </c>
      <c r="AT56" s="129"/>
      <c r="AU56" s="125" t="e">
        <f t="shared" ca="1" si="24"/>
        <v>#NAME?</v>
      </c>
      <c r="AV56" s="126"/>
      <c r="AW56" s="127" t="e">
        <f t="shared" ca="1" si="25"/>
        <v>#NAME?</v>
      </c>
      <c r="AX56" s="128"/>
      <c r="AY56" s="96" t="e">
        <f t="shared" ca="1" si="31"/>
        <v>#NAME?</v>
      </c>
      <c r="BA56" s="125" t="e">
        <f t="shared" ca="1" si="32"/>
        <v>#NAME?</v>
      </c>
      <c r="BB56" s="126"/>
      <c r="BC56" s="127" t="e">
        <f t="shared" ca="1" si="33"/>
        <v>#NAME?</v>
      </c>
      <c r="BD56" s="128"/>
      <c r="BE56" s="96" t="e">
        <f t="shared" ca="1" si="26"/>
        <v>#NAME?</v>
      </c>
      <c r="BG56" s="125" t="e">
        <f ca="1">_xll.GetCtData("CO-AMOUNT","CONS-AMOUNT",$A$1:$A$4,$A56:$B56,BG$5:BG$10,"#")</f>
        <v>#NAME?</v>
      </c>
      <c r="BH56" s="126"/>
      <c r="BI56" s="127" t="e">
        <f ca="1">_xll.GetCtData("CO-AMOUNT","CONS-AMOUNT",$A$1:$A$4,$A56:$B56,BI$5:BI$10,"#-275,133")</f>
        <v>#NAME?</v>
      </c>
      <c r="BJ56" s="128"/>
      <c r="BK56" s="96" t="e">
        <f t="shared" ca="1" si="34"/>
        <v>#NAME?</v>
      </c>
      <c r="BL56" s="129"/>
      <c r="BN56" s="125" t="e">
        <f ca="1">_xll.GetCtData("CO-AMOUNT","CONS-AMOUNT",$A$1:$A$4,$A56:$B56,BN$5:BN$10,"#")</f>
        <v>#NAME?</v>
      </c>
      <c r="BO56" s="126"/>
      <c r="BP56" s="127" t="e">
        <f ca="1">_xll.GetCtData("CO-AMOUNT","CONS-AMOUNT",$A$1:$A$4,$A56:$B56,BP$5:BP$10,"#")</f>
        <v>#NAME?</v>
      </c>
      <c r="BQ56" s="128"/>
      <c r="BR56" s="96" t="e">
        <f t="shared" ca="1" si="35"/>
        <v>#NAME?</v>
      </c>
      <c r="BS56" s="129"/>
    </row>
    <row r="57" spans="1:71" s="123" customFormat="1" ht="14.4" outlineLevel="1">
      <c r="A57" s="123" t="s">
        <v>327</v>
      </c>
      <c r="B57" s="123" t="s">
        <v>328</v>
      </c>
      <c r="D57" s="124" t="str">
        <f>CHOOSE([6]Traduction!$A$2,[6]Traduction!$A70,[6]Traduction!$B70)</f>
        <v>o/w Tracker</v>
      </c>
      <c r="E57" s="125" t="e">
        <f ca="1">_xll.GetCtData("CO-AMOUNT","CONS-AMOUNT",$A$1:$A$4,$A57:$B57,E$5:E$10,"#")</f>
        <v>#NAME?</v>
      </c>
      <c r="F57" s="126"/>
      <c r="G57" s="127" t="e">
        <f ca="1">_xll.GetCtData("CO-AMOUNT","CONS-AMOUNT",$A$1:$A$4,$A57:$B57,G$5:G$10,"#239,754")</f>
        <v>#NAME?</v>
      </c>
      <c r="H57" s="128"/>
      <c r="I57" s="96" t="e">
        <f t="shared" ca="1" si="12"/>
        <v>#NAME?</v>
      </c>
      <c r="J57" s="129"/>
      <c r="K57" s="125" t="e">
        <f ca="1">_xll.GetCtData("CO-AMOUNT","CONS-AMOUNT",$A$1:$A$4,$A57:$B57,K$5:K$10,"#31,525")</f>
        <v>#NAME?</v>
      </c>
      <c r="L57" s="126"/>
      <c r="M57" s="127" t="e">
        <f ca="1">_xll.GetCtData("CO-AMOUNT","CONS-AMOUNT",$A$1:$A$4,$A57:$B57,M$5:M$10,"#-309,335")</f>
        <v>#NAME?</v>
      </c>
      <c r="N57" s="128"/>
      <c r="O57" s="70" t="e">
        <f t="shared" ca="1" si="13"/>
        <v>#NAME?</v>
      </c>
      <c r="P57" s="129"/>
      <c r="Q57" s="125" t="e">
        <f ca="1">_xll.GetCtData("CO-AMOUNT","CONS-AMOUNT",$A$1:$A$4,$A57:$B57,Q$5:Q$10,"#31,525")</f>
        <v>#NAME?</v>
      </c>
      <c r="R57" s="126"/>
      <c r="S57" s="127" t="e">
        <f ca="1">_xll.GetCtData("CO-AMOUNT","CONS-AMOUNT",$A$1:$A$4,$A57:$B57,S$5:S$10,"#-69,5810000000001")</f>
        <v>#NAME?</v>
      </c>
      <c r="T57" s="128"/>
      <c r="U57" s="96" t="e">
        <f t="shared" ca="1" si="14"/>
        <v>#NAME?</v>
      </c>
      <c r="V57" s="25"/>
      <c r="W57" s="125" t="e">
        <f ca="1">_xll.GetCtData("CO-AMOUNT","CONS-AMOUNT",$A$1:$A$4,$A57:$B57,W$5:W$10,"#")</f>
        <v>#NAME?</v>
      </c>
      <c r="X57" s="126"/>
      <c r="Y57" s="127" t="e">
        <f ca="1">_xll.GetCtData("CO-AMOUNT","CONS-AMOUNT",$A$1:$A$4,$A57:$B57,Y$5:Y$10,"#")</f>
        <v>#NAME?</v>
      </c>
      <c r="Z57" s="128"/>
      <c r="AA57" s="96" t="e">
        <f t="shared" ca="1" si="27"/>
        <v>#NAME?</v>
      </c>
      <c r="AB57" s="129"/>
      <c r="AC57" s="125" t="e">
        <f ca="1">_xll.GetCtData("CO-AMOUNT","CONS-AMOUNT",$A$1:$A$4,$A57:$B57,AC$5:AC$10,"#")</f>
        <v>#NAME?</v>
      </c>
      <c r="AD57" s="126"/>
      <c r="AE57" s="127" t="e">
        <f ca="1">_xll.GetCtData("CO-AMOUNT","CONS-AMOUNT",$A$1:$A$4,$A57:$B57,AE$5:AE$10,"#")</f>
        <v>#NAME?</v>
      </c>
      <c r="AF57" s="128"/>
      <c r="AG57" s="96" t="e">
        <f t="shared" ca="1" si="28"/>
        <v>#NAME?</v>
      </c>
      <c r="AH57" s="129"/>
      <c r="AI57" s="125" t="e">
        <f ca="1">_xll.GetCtData("CO-AMOUNT","CONS-AMOUNT",$A$1:$A$4,$A57:$B57,AI$5:AI$10,"#")</f>
        <v>#NAME?</v>
      </c>
      <c r="AJ57" s="126"/>
      <c r="AK57" s="127" t="e">
        <f ca="1">_xll.GetCtData("CO-AMOUNT","CONS-AMOUNT",$A$1:$A$4,$A57:$B57,AK$5:AK$10,"#")</f>
        <v>#NAME?</v>
      </c>
      <c r="AL57" s="128"/>
      <c r="AM57" s="96" t="e">
        <f t="shared" ca="1" si="29"/>
        <v>#NAME?</v>
      </c>
      <c r="AN57" s="129"/>
      <c r="AO57" s="125" t="e">
        <f ca="1">_xll.GetCtData("CO-AMOUNT","CONS-AMOUNT",$A$1:$A$4,$A57:$B57,AO$5:AO$10,"#")</f>
        <v>#NAME?</v>
      </c>
      <c r="AP57" s="126"/>
      <c r="AQ57" s="127" t="e">
        <f ca="1">_xll.GetCtData("CO-AMOUNT","CONS-AMOUNT",$A$1:$A$4,$A57:$B57,AQ$5:AQ$10,"#-54,263")</f>
        <v>#NAME?</v>
      </c>
      <c r="AR57" s="128"/>
      <c r="AS57" s="96" t="e">
        <f t="shared" ca="1" si="30"/>
        <v>#NAME?</v>
      </c>
      <c r="AT57" s="129"/>
      <c r="AU57" s="125" t="e">
        <f t="shared" ca="1" si="24"/>
        <v>#NAME?</v>
      </c>
      <c r="AV57" s="126"/>
      <c r="AW57" s="127" t="e">
        <f t="shared" ca="1" si="25"/>
        <v>#NAME?</v>
      </c>
      <c r="AX57" s="128"/>
      <c r="AY57" s="96" t="e">
        <f t="shared" ca="1" si="31"/>
        <v>#NAME?</v>
      </c>
      <c r="BA57" s="125" t="e">
        <f t="shared" ca="1" si="32"/>
        <v>#NAME?</v>
      </c>
      <c r="BB57" s="126"/>
      <c r="BC57" s="127" t="e">
        <f t="shared" ca="1" si="33"/>
        <v>#NAME?</v>
      </c>
      <c r="BD57" s="128"/>
      <c r="BE57" s="96" t="e">
        <f t="shared" ca="1" si="26"/>
        <v>#NAME?</v>
      </c>
      <c r="BG57" s="125" t="e">
        <f ca="1">_xll.GetCtData("CO-AMOUNT","CONS-AMOUNT",$A$1:$A$4,$A57:$B57,BG$5:BG$10,"#")</f>
        <v>#NAME?</v>
      </c>
      <c r="BH57" s="126"/>
      <c r="BI57" s="127" t="e">
        <f ca="1">_xll.GetCtData("CO-AMOUNT","CONS-AMOUNT",$A$1:$A$4,$A57:$B57,BI$5:BI$10,"#-54,263")</f>
        <v>#NAME?</v>
      </c>
      <c r="BJ57" s="128"/>
      <c r="BK57" s="96" t="e">
        <f t="shared" ca="1" si="34"/>
        <v>#NAME?</v>
      </c>
      <c r="BL57" s="129"/>
      <c r="BN57" s="125" t="e">
        <f ca="1">_xll.GetCtData("CO-AMOUNT","CONS-AMOUNT",$A$1:$A$4,$A57:$B57,BN$5:BN$10,"#")</f>
        <v>#NAME?</v>
      </c>
      <c r="BO57" s="126"/>
      <c r="BP57" s="127" t="e">
        <f ca="1">_xll.GetCtData("CO-AMOUNT","CONS-AMOUNT",$A$1:$A$4,$A57:$B57,BP$5:BP$10,"#")</f>
        <v>#NAME?</v>
      </c>
      <c r="BQ57" s="128"/>
      <c r="BR57" s="96" t="e">
        <f t="shared" ca="1" si="35"/>
        <v>#NAME?</v>
      </c>
      <c r="BS57" s="129"/>
    </row>
    <row r="58" spans="1:71" s="65" customFormat="1">
      <c r="A58" s="65" t="s">
        <v>313</v>
      </c>
      <c r="B58" s="65" t="s">
        <v>329</v>
      </c>
      <c r="C58" s="65" t="s">
        <v>283</v>
      </c>
      <c r="D58" s="97" t="str">
        <f>CHOOSE([6]Traduction!$A$2,[6]Traduction!$A49,[6]Traduction!$B49)</f>
        <v>o/w Germany</v>
      </c>
      <c r="E58" s="67" t="e">
        <f ca="1">_xll.GetCtData("CO-AMOUNT","CONS-AMOUNT",$A$1:$A$4,$A58:$B58,E$5:E$10,"#21503,992")</f>
        <v>#NAME?</v>
      </c>
      <c r="F58" s="68"/>
      <c r="G58" s="69" t="e">
        <f ca="1">_xll.GetCtData("CO-AMOUNT","CONS-AMOUNT",$A$1:$A$4,$A58:$B58,G$5:G$10,"#17276,575")</f>
        <v>#NAME?</v>
      </c>
      <c r="H58" s="93"/>
      <c r="I58" s="70" t="e">
        <f t="shared" ca="1" si="12"/>
        <v>#NAME?</v>
      </c>
      <c r="J58" s="103"/>
      <c r="K58" s="67" t="e">
        <f ca="1">_xll.GetCtData("CO-AMOUNT","CONS-AMOUNT",$A$1:$A$4,$A58:$B58,K$5:K$10,"#-22361,018")</f>
        <v>#NAME?</v>
      </c>
      <c r="L58" s="68"/>
      <c r="M58" s="69" t="e">
        <f ca="1">_xll.GetCtData("CO-AMOUNT","CONS-AMOUNT",$A$1:$A$4,$A58:$B58,M$5:M$10,"#-21612,791")</f>
        <v>#NAME?</v>
      </c>
      <c r="N58" s="51"/>
      <c r="O58" s="70" t="e">
        <f t="shared" ca="1" si="13"/>
        <v>#NAME?</v>
      </c>
      <c r="P58" s="53"/>
      <c r="Q58" s="67" t="e">
        <f ca="1">_xll.GetCtData("CO-AMOUNT","CONS-AMOUNT",$A$1:$A$4,$A58:$B58,Q$5:Q$10,"#-1198,962")</f>
        <v>#NAME?</v>
      </c>
      <c r="R58" s="51"/>
      <c r="S58" s="69" t="e">
        <f ca="1">_xll.GetCtData("CO-AMOUNT","CONS-AMOUNT",$A$1:$A$4,$A58:$B58,S$5:S$10,"#-4362,803")</f>
        <v>#NAME?</v>
      </c>
      <c r="T58" s="51"/>
      <c r="U58" s="70" t="e">
        <f t="shared" ca="1" si="14"/>
        <v>#NAME?</v>
      </c>
      <c r="V58" s="25"/>
      <c r="W58" s="67" t="e">
        <f ca="1">_xll.GetCtData("CO-AMOUNT","CONS-AMOUNT",$A$1:$A$4,$A58:$B58,W$5:W$10,"#-218")</f>
        <v>#NAME?</v>
      </c>
      <c r="X58" s="51"/>
      <c r="Y58" s="69" t="e">
        <f ca="1">_xll.GetCtData("CO-AMOUNT","CONS-AMOUNT",$A$1:$A$4,$A58:$B58,Y$5:Y$10,"#-218,085")</f>
        <v>#NAME?</v>
      </c>
      <c r="Z58" s="51"/>
      <c r="AA58" s="70" t="e">
        <f t="shared" ca="1" si="27"/>
        <v>#NAME?</v>
      </c>
      <c r="AB58" s="53"/>
      <c r="AC58" s="67" t="e">
        <f ca="1">_xll.GetCtData("CO-AMOUNT","CONS-AMOUNT",$A$1:$A$4,$A58:$B58,AC$5:AC$10,"#")</f>
        <v>#NAME?</v>
      </c>
      <c r="AD58" s="51"/>
      <c r="AE58" s="69" t="e">
        <f ca="1">_xll.GetCtData("CO-AMOUNT","CONS-AMOUNT",$A$1:$A$4,$A58:$B58,AE$5:AE$10,"#")</f>
        <v>#NAME?</v>
      </c>
      <c r="AF58" s="51"/>
      <c r="AG58" s="70" t="e">
        <f t="shared" ca="1" si="28"/>
        <v>#NAME?</v>
      </c>
      <c r="AH58" s="53"/>
      <c r="AI58" s="67" t="e">
        <f ca="1">_xll.GetCtData("CO-AMOUNT","CONS-AMOUNT",$A$1:$A$4,$A58:$B58,AI$5:AI$10,"#-148")</f>
        <v>#NAME?</v>
      </c>
      <c r="AJ58" s="51"/>
      <c r="AK58" s="69" t="e">
        <f ca="1">_xll.GetCtData("CO-AMOUNT","CONS-AMOUNT",$A$1:$A$4,$A58:$B58,AK$5:AK$10,"#-148,272")</f>
        <v>#NAME?</v>
      </c>
      <c r="AL58" s="51"/>
      <c r="AM58" s="70" t="e">
        <f t="shared" ca="1" si="29"/>
        <v>#NAME?</v>
      </c>
      <c r="AN58" s="53"/>
      <c r="AO58" s="67" t="e">
        <f ca="1">_xll.GetCtData("CO-AMOUNT","CONS-AMOUNT",$A$1:$A$4,$A58:$B58,AO$5:AO$10,"#-936,59")</f>
        <v>#NAME?</v>
      </c>
      <c r="AP58" s="51"/>
      <c r="AQ58" s="69" t="e">
        <f ca="1">_xll.GetCtData("CO-AMOUNT","CONS-AMOUNT",$A$1:$A$4,$A58:$B58,AQ$5:AQ$10,"#-944,585")</f>
        <v>#NAME?</v>
      </c>
      <c r="AR58" s="51"/>
      <c r="AS58" s="70" t="e">
        <f t="shared" ca="1" si="30"/>
        <v>#NAME?</v>
      </c>
      <c r="AT58" s="53"/>
      <c r="AU58" s="67" t="e">
        <f t="shared" ca="1" si="24"/>
        <v>#NAME?</v>
      </c>
      <c r="AV58" s="51"/>
      <c r="AW58" s="69" t="e">
        <f t="shared" ca="1" si="25"/>
        <v>#NAME?</v>
      </c>
      <c r="AX58" s="51"/>
      <c r="AY58" s="70" t="e">
        <f t="shared" ca="1" si="31"/>
        <v>#NAME?</v>
      </c>
      <c r="BA58" s="67" t="e">
        <f t="shared" ca="1" si="32"/>
        <v>#NAME?</v>
      </c>
      <c r="BB58" s="51"/>
      <c r="BC58" s="69" t="e">
        <f t="shared" ca="1" si="33"/>
        <v>#NAME?</v>
      </c>
      <c r="BD58" s="51"/>
      <c r="BE58" s="70" t="e">
        <f t="shared" ca="1" si="26"/>
        <v>#NAME?</v>
      </c>
      <c r="BG58" s="67" t="e">
        <f ca="1">_xll.GetCtData("CO-AMOUNT","CONS-AMOUNT",$A$1:$A$4,$A58:$B58,BG$5:BG$10,"#-742,014")</f>
        <v>#NAME?</v>
      </c>
      <c r="BH58" s="51"/>
      <c r="BI58" s="69" t="e">
        <f ca="1">_xll.GetCtData("CO-AMOUNT","CONS-AMOUNT",$A$1:$A$4,$A58:$B58,BI$5:BI$10,"#-742,012")</f>
        <v>#NAME?</v>
      </c>
      <c r="BJ58" s="51"/>
      <c r="BK58" s="70" t="e">
        <f t="shared" ca="1" si="34"/>
        <v>#NAME?</v>
      </c>
      <c r="BL58" s="53"/>
      <c r="BN58" s="67" t="e">
        <f ca="1">_xll.GetCtData("CO-AMOUNT","CONS-AMOUNT",$A$1:$A$4,$A58:$B58,BN$5:BN$10,"#-194,576")</f>
        <v>#NAME?</v>
      </c>
      <c r="BO58" s="51"/>
      <c r="BP58" s="69" t="e">
        <f ca="1">_xll.GetCtData("CO-AMOUNT","CONS-AMOUNT",$A$1:$A$4,$A58:$B58,BP$5:BP$10,"#-202,573")</f>
        <v>#NAME?</v>
      </c>
      <c r="BQ58" s="51"/>
      <c r="BR58" s="70" t="e">
        <f t="shared" ca="1" si="35"/>
        <v>#NAME?</v>
      </c>
      <c r="BS58" s="53"/>
    </row>
    <row r="59" spans="1:71" s="65" customFormat="1">
      <c r="D59" s="97" t="str">
        <f>CHOOSE([6]Traduction!$A$2,[6]Traduction!$A71,[6]Traduction!$B71)</f>
        <v>o/w Advisory 7</v>
      </c>
      <c r="E59" s="67" t="e">
        <f ca="1">E60+E61+E62+E63+E64+E65+E66</f>
        <v>#NAME?</v>
      </c>
      <c r="F59" s="68"/>
      <c r="G59" s="69" t="e">
        <f ca="1">G60+G61+G62+G63+G64+G65+G66</f>
        <v>#NAME?</v>
      </c>
      <c r="H59" s="68"/>
      <c r="I59" s="70" t="e">
        <f t="shared" ca="1" si="12"/>
        <v>#NAME?</v>
      </c>
      <c r="J59" s="71"/>
      <c r="K59" s="67" t="e">
        <f ca="1">K60+K61+K62+K63+K64+K65+K66</f>
        <v>#NAME?</v>
      </c>
      <c r="L59" s="68"/>
      <c r="M59" s="69" t="e">
        <f ca="1">M60+M61+M62+M63+M64+M65+M66</f>
        <v>#NAME?</v>
      </c>
      <c r="N59" s="51"/>
      <c r="O59" s="70" t="e">
        <f t="shared" ca="1" si="13"/>
        <v>#NAME?</v>
      </c>
      <c r="P59" s="53"/>
      <c r="Q59" s="67" t="e">
        <f ca="1">Q60+Q61+Q62+Q63+Q64+Q65+Q66</f>
        <v>#NAME?</v>
      </c>
      <c r="R59" s="51"/>
      <c r="S59" s="69" t="e">
        <f ca="1">S60+S61+S62+S63+S64+S65+S66</f>
        <v>#NAME?</v>
      </c>
      <c r="T59" s="51"/>
      <c r="U59" s="70" t="e">
        <f t="shared" ca="1" si="14"/>
        <v>#NAME?</v>
      </c>
      <c r="V59" s="25"/>
      <c r="W59" s="67" t="e">
        <f ca="1">W60+W61+W62+W63+W64+W65+W66</f>
        <v>#NAME?</v>
      </c>
      <c r="X59" s="51"/>
      <c r="Y59" s="69" t="e">
        <f ca="1">Y60+Y61+Y62+Y63+Y64+Y65+Y66</f>
        <v>#NAME?</v>
      </c>
      <c r="Z59" s="51"/>
      <c r="AA59" s="70" t="e">
        <f t="shared" ca="1" si="27"/>
        <v>#NAME?</v>
      </c>
      <c r="AB59" s="53"/>
      <c r="AC59" s="67" t="e">
        <f ca="1">AC60+AC61+AC62+AC63+AC64+AC65+AC66</f>
        <v>#NAME?</v>
      </c>
      <c r="AD59" s="51"/>
      <c r="AE59" s="69" t="e">
        <f ca="1">AE60+AE61+AE62+AE63+AE64+AE65+AE66</f>
        <v>#NAME?</v>
      </c>
      <c r="AF59" s="51"/>
      <c r="AG59" s="70" t="e">
        <f t="shared" ca="1" si="28"/>
        <v>#NAME?</v>
      </c>
      <c r="AH59" s="53"/>
      <c r="AI59" s="67" t="e">
        <f ca="1">AI60+AI61+AI62+AI63+AI64+AI65+AI66</f>
        <v>#NAME?</v>
      </c>
      <c r="AJ59" s="51"/>
      <c r="AK59" s="69" t="e">
        <f ca="1">AK60+AK61+AK62+AK63+AK64+AK65+AK66</f>
        <v>#NAME?</v>
      </c>
      <c r="AL59" s="51"/>
      <c r="AM59" s="70" t="e">
        <f t="shared" ca="1" si="29"/>
        <v>#NAME?</v>
      </c>
      <c r="AN59" s="53"/>
      <c r="AO59" s="67" t="e">
        <f ca="1">AO60+AO61+AO62+AO63+AO64+AO65+AO66</f>
        <v>#NAME?</v>
      </c>
      <c r="AP59" s="51"/>
      <c r="AQ59" s="69" t="e">
        <f ca="1">AQ60+AQ61+AQ62+AQ63+AQ64+AQ65+AQ66</f>
        <v>#NAME?</v>
      </c>
      <c r="AR59" s="51"/>
      <c r="AS59" s="70" t="e">
        <f t="shared" ca="1" si="30"/>
        <v>#NAME?</v>
      </c>
      <c r="AT59" s="53"/>
      <c r="AU59" s="67" t="e">
        <f t="shared" ca="1" si="24"/>
        <v>#NAME?</v>
      </c>
      <c r="AV59" s="51"/>
      <c r="AW59" s="69" t="e">
        <f t="shared" ca="1" si="25"/>
        <v>#NAME?</v>
      </c>
      <c r="AX59" s="51"/>
      <c r="AY59" s="70" t="e">
        <f t="shared" ca="1" si="31"/>
        <v>#NAME?</v>
      </c>
      <c r="BA59" s="67" t="e">
        <f t="shared" ca="1" si="32"/>
        <v>#NAME?</v>
      </c>
      <c r="BB59" s="51"/>
      <c r="BC59" s="69" t="e">
        <f t="shared" ca="1" si="33"/>
        <v>#NAME?</v>
      </c>
      <c r="BD59" s="51"/>
      <c r="BE59" s="70" t="e">
        <f t="shared" ca="1" si="26"/>
        <v>#NAME?</v>
      </c>
      <c r="BG59" s="67" t="e">
        <f ca="1">BG60+BG61+BG62+BG63+BG64+BG65+BG66</f>
        <v>#NAME?</v>
      </c>
      <c r="BH59" s="51"/>
      <c r="BI59" s="69" t="e">
        <f ca="1">BI60+BI61+BI62+BI63+BI64+BI65+BI66</f>
        <v>#NAME?</v>
      </c>
      <c r="BJ59" s="51"/>
      <c r="BK59" s="70" t="e">
        <f t="shared" ca="1" si="34"/>
        <v>#NAME?</v>
      </c>
      <c r="BL59" s="53"/>
      <c r="BN59" s="67" t="e">
        <f ca="1">BN60+BN61+BN62+BN63+BN64+BN65+BN66</f>
        <v>#NAME?</v>
      </c>
      <c r="BO59" s="51"/>
      <c r="BP59" s="69" t="e">
        <f ca="1">BP60+BP61+BP62+BP63+BP64+BP65+BP66</f>
        <v>#NAME?</v>
      </c>
      <c r="BQ59" s="51"/>
      <c r="BR59" s="70" t="e">
        <f t="shared" ca="1" si="35"/>
        <v>#NAME?</v>
      </c>
      <c r="BS59" s="53"/>
    </row>
    <row r="60" spans="1:71" s="65" customFormat="1" outlineLevel="1">
      <c r="A60" s="65" t="s">
        <v>313</v>
      </c>
      <c r="B60" s="65" t="s">
        <v>280</v>
      </c>
      <c r="C60" s="65" t="s">
        <v>281</v>
      </c>
      <c r="D60" s="72" t="str">
        <f>CHOOSE([6]Traduction!$A$2,[6]Traduction!$A48,[6]Traduction!$B48)</f>
        <v>o/w Spain</v>
      </c>
      <c r="E60" s="67" t="e">
        <f ca="1">_xll.GetCtData("CO-AMOUNT","CONS-AMOUNT",$A$1:$A$4,$A60:$B60,E$5:E$10,"#1419,642")</f>
        <v>#NAME?</v>
      </c>
      <c r="F60" s="68"/>
      <c r="G60" s="69" t="e">
        <f ca="1">_xll.GetCtData("CO-AMOUNT","CONS-AMOUNT",$A$1:$A$4,$A60:$B60,G$5:G$10,"#1491,872")</f>
        <v>#NAME?</v>
      </c>
      <c r="H60" s="68"/>
      <c r="I60" s="70" t="e">
        <f t="shared" ca="1" si="12"/>
        <v>#NAME?</v>
      </c>
      <c r="J60" s="71"/>
      <c r="K60" s="67" t="e">
        <f ca="1">_xll.GetCtData("CO-AMOUNT","CONS-AMOUNT",$A$1:$A$4,$A60:$B60,K$5:K$10,"#-2517,165")</f>
        <v>#NAME?</v>
      </c>
      <c r="L60" s="68"/>
      <c r="M60" s="69" t="e">
        <f ca="1">_xll.GetCtData("CO-AMOUNT","CONS-AMOUNT",$A$1:$A$4,$A60:$B60,M$5:M$10,"#-2588,046")</f>
        <v>#NAME?</v>
      </c>
      <c r="N60" s="51"/>
      <c r="O60" s="70" t="e">
        <f t="shared" ca="1" si="13"/>
        <v>#NAME?</v>
      </c>
      <c r="P60" s="53"/>
      <c r="Q60" s="67" t="e">
        <f ca="1">_xll.GetCtData("CO-AMOUNT","CONS-AMOUNT",$A$1:$A$4,$A60:$B60,Q$5:Q$10,"#-1187,182")</f>
        <v>#NAME?</v>
      </c>
      <c r="R60" s="51"/>
      <c r="S60" s="69" t="e">
        <f ca="1">_xll.GetCtData("CO-AMOUNT","CONS-AMOUNT",$A$1:$A$4,$A60:$B60,S$5:S$10,"#-1131,034")</f>
        <v>#NAME?</v>
      </c>
      <c r="T60" s="51"/>
      <c r="U60" s="70" t="e">
        <f t="shared" ca="1" si="14"/>
        <v>#NAME?</v>
      </c>
      <c r="V60" s="25"/>
      <c r="W60" s="67" t="e">
        <f ca="1">_xll.GetCtData("CO-AMOUNT","CONS-AMOUNT",$A$1:$A$4,$A60:$B60,W$5:W$10,"#-16,72")</f>
        <v>#NAME?</v>
      </c>
      <c r="X60" s="51"/>
      <c r="Y60" s="69" t="e">
        <f ca="1">_xll.GetCtData("CO-AMOUNT","CONS-AMOUNT",$A$1:$A$4,$A60:$B60,Y$5:Y$10,"#-17,048")</f>
        <v>#NAME?</v>
      </c>
      <c r="Z60" s="51"/>
      <c r="AA60" s="70" t="e">
        <f t="shared" ca="1" si="27"/>
        <v>#NAME?</v>
      </c>
      <c r="AB60" s="53"/>
      <c r="AC60" s="67" t="e">
        <f ca="1">_xll.GetCtData("CO-AMOUNT","CONS-AMOUNT",$A$1:$A$4,$A60:$B60,AC$5:AC$10,"#")</f>
        <v>#NAME?</v>
      </c>
      <c r="AD60" s="51"/>
      <c r="AE60" s="69" t="e">
        <f ca="1">_xll.GetCtData("CO-AMOUNT","CONS-AMOUNT",$A$1:$A$4,$A60:$B60,AE$5:AE$10,"#")</f>
        <v>#NAME?</v>
      </c>
      <c r="AF60" s="51"/>
      <c r="AG60" s="70" t="e">
        <f t="shared" ca="1" si="28"/>
        <v>#NAME?</v>
      </c>
      <c r="AH60" s="53"/>
      <c r="AI60" s="67" t="e">
        <f ca="1">_xll.GetCtData("CO-AMOUNT","CONS-AMOUNT",$A$1:$A$4,$A60:$B60,AI$5:AI$10,"#-23,71")</f>
        <v>#NAME?</v>
      </c>
      <c r="AJ60" s="51"/>
      <c r="AK60" s="69" t="e">
        <f ca="1">_xll.GetCtData("CO-AMOUNT","CONS-AMOUNT",$A$1:$A$4,$A60:$B60,AK$5:AK$10,"#-24,2")</f>
        <v>#NAME?</v>
      </c>
      <c r="AL60" s="51"/>
      <c r="AM60" s="70" t="e">
        <f t="shared" ca="1" si="29"/>
        <v>#NAME?</v>
      </c>
      <c r="AN60" s="53"/>
      <c r="AO60" s="67" t="e">
        <f ca="1">_xll.GetCtData("CO-AMOUNT","CONS-AMOUNT",$A$1:$A$4,$A60:$B60,AO$5:AO$10,"#-118,922")</f>
        <v>#NAME?</v>
      </c>
      <c r="AP60" s="51"/>
      <c r="AQ60" s="69" t="e">
        <f ca="1">_xll.GetCtData("CO-AMOUNT","CONS-AMOUNT",$A$1:$A$4,$A60:$B60,AQ$5:AQ$10,"#-120,729")</f>
        <v>#NAME?</v>
      </c>
      <c r="AR60" s="51"/>
      <c r="AS60" s="70" t="e">
        <f t="shared" ca="1" si="30"/>
        <v>#NAME?</v>
      </c>
      <c r="AT60" s="53"/>
      <c r="AU60" s="67" t="e">
        <f t="shared" ca="1" si="24"/>
        <v>#NAME?</v>
      </c>
      <c r="AV60" s="51"/>
      <c r="AW60" s="69" t="e">
        <f t="shared" ca="1" si="25"/>
        <v>#NAME?</v>
      </c>
      <c r="AX60" s="51"/>
      <c r="AY60" s="70" t="e">
        <f t="shared" ca="1" si="31"/>
        <v>#NAME?</v>
      </c>
      <c r="BA60" s="67" t="e">
        <f t="shared" ca="1" si="32"/>
        <v>#NAME?</v>
      </c>
      <c r="BB60" s="51"/>
      <c r="BC60" s="69" t="e">
        <f t="shared" ca="1" si="33"/>
        <v>#NAME?</v>
      </c>
      <c r="BD60" s="51"/>
      <c r="BE60" s="70" t="e">
        <f t="shared" ca="1" si="26"/>
        <v>#NAME?</v>
      </c>
      <c r="BG60" s="67" t="e">
        <f ca="1">_xll.GetCtData("CO-AMOUNT","CONS-AMOUNT",$A$1:$A$4,$A60:$B60,BG$5:BG$10,"#-93,99")</f>
        <v>#NAME?</v>
      </c>
      <c r="BH60" s="51"/>
      <c r="BI60" s="69" t="e">
        <f ca="1">_xll.GetCtData("CO-AMOUNT","CONS-AMOUNT",$A$1:$A$4,$A60:$B60,BI$5:BI$10,"#-95,418")</f>
        <v>#NAME?</v>
      </c>
      <c r="BJ60" s="51"/>
      <c r="BK60" s="70" t="e">
        <f t="shared" ca="1" si="34"/>
        <v>#NAME?</v>
      </c>
      <c r="BL60" s="53"/>
      <c r="BN60" s="67" t="e">
        <f ca="1">_xll.GetCtData("CO-AMOUNT","CONS-AMOUNT",$A$1:$A$4,$A60:$B60,BN$5:BN$10,"#-24,932")</f>
        <v>#NAME?</v>
      </c>
      <c r="BO60" s="51"/>
      <c r="BP60" s="69" t="e">
        <f ca="1">_xll.GetCtData("CO-AMOUNT","CONS-AMOUNT",$A$1:$A$4,$A60:$B60,BP$5:BP$10,"#-25,311")</f>
        <v>#NAME?</v>
      </c>
      <c r="BQ60" s="51"/>
      <c r="BR60" s="70" t="e">
        <f t="shared" ca="1" si="35"/>
        <v>#NAME?</v>
      </c>
      <c r="BS60" s="53"/>
    </row>
    <row r="61" spans="1:71" s="65" customFormat="1" outlineLevel="1">
      <c r="A61" s="65" t="s">
        <v>313</v>
      </c>
      <c r="B61" s="65" t="s">
        <v>309</v>
      </c>
      <c r="C61" s="65" t="s">
        <v>310</v>
      </c>
      <c r="D61" s="72" t="str">
        <f>CHOOSE([6]Traduction!$A$2,[6]Traduction!$A66,[6]Traduction!$B66)</f>
        <v>o/w Belgium</v>
      </c>
      <c r="E61" s="67" t="e">
        <f ca="1">_xll.GetCtData("CO-AMOUNT","CONS-AMOUNT",$A$1:$A$4,$A61:$B61,E$5:E$10,"#1653")</f>
        <v>#NAME?</v>
      </c>
      <c r="F61" s="68"/>
      <c r="G61" s="69" t="e">
        <f ca="1">_xll.GetCtData("CO-AMOUNT","CONS-AMOUNT",$A$1:$A$4,$A61:$B61,G$5:G$10,"#1407,564")</f>
        <v>#NAME?</v>
      </c>
      <c r="H61" s="68"/>
      <c r="I61" s="70" t="e">
        <f t="shared" ca="1" si="12"/>
        <v>#NAME?</v>
      </c>
      <c r="J61" s="71"/>
      <c r="K61" s="67" t="e">
        <f ca="1">_xll.GetCtData("CO-AMOUNT","CONS-AMOUNT",$A$1:$A$4,$A61:$B61,K$5:K$10,"#-1574,813")</f>
        <v>#NAME?</v>
      </c>
      <c r="L61" s="68"/>
      <c r="M61" s="69" t="e">
        <f ca="1">_xll.GetCtData("CO-AMOUNT","CONS-AMOUNT",$A$1:$A$4,$A61:$B61,M$5:M$10,"#-1594,581")</f>
        <v>#NAME?</v>
      </c>
      <c r="N61" s="51"/>
      <c r="O61" s="70" t="e">
        <f t="shared" ca="1" si="13"/>
        <v>#NAME?</v>
      </c>
      <c r="P61" s="53"/>
      <c r="Q61" s="67" t="e">
        <f ca="1">_xll.GetCtData("CO-AMOUNT","CONS-AMOUNT",$A$1:$A$4,$A61:$B61,Q$5:Q$10,"#130,187")</f>
        <v>#NAME?</v>
      </c>
      <c r="R61" s="51"/>
      <c r="S61" s="69" t="e">
        <f ca="1">_xll.GetCtData("CO-AMOUNT","CONS-AMOUNT",$A$1:$A$4,$A61:$B61,S$5:S$10,"#-188,837")</f>
        <v>#NAME?</v>
      </c>
      <c r="T61" s="51"/>
      <c r="U61" s="70" t="e">
        <f t="shared" ca="1" si="14"/>
        <v>#NAME?</v>
      </c>
      <c r="V61" s="25"/>
      <c r="W61" s="67" t="e">
        <f ca="1">_xll.GetCtData("CO-AMOUNT","CONS-AMOUNT",$A$1:$A$4,$A61:$B61,W$5:W$10,"#-4,36")</f>
        <v>#NAME?</v>
      </c>
      <c r="X61" s="51"/>
      <c r="Y61" s="69" t="e">
        <f ca="1">_xll.GetCtData("CO-AMOUNT","CONS-AMOUNT",$A$1:$A$4,$A61:$B61,Y$5:Y$10,"#-1")</f>
        <v>#NAME?</v>
      </c>
      <c r="Z61" s="51"/>
      <c r="AA61" s="70" t="e">
        <f t="shared" ca="1" si="27"/>
        <v>#NAME?</v>
      </c>
      <c r="AB61" s="53"/>
      <c r="AC61" s="67" t="e">
        <f ca="1">_xll.GetCtData("CO-AMOUNT","CONS-AMOUNT",$A$1:$A$4,$A61:$B61,AC$5:AC$10,"#")</f>
        <v>#NAME?</v>
      </c>
      <c r="AD61" s="51"/>
      <c r="AE61" s="69" t="e">
        <f ca="1">_xll.GetCtData("CO-AMOUNT","CONS-AMOUNT",$A$1:$A$4,$A61:$B61,AE$5:AE$10,"#")</f>
        <v>#NAME?</v>
      </c>
      <c r="AF61" s="51"/>
      <c r="AG61" s="70" t="e">
        <f t="shared" ca="1" si="28"/>
        <v>#NAME?</v>
      </c>
      <c r="AH61" s="53"/>
      <c r="AI61" s="67" t="e">
        <f ca="1">_xll.GetCtData("CO-AMOUNT","CONS-AMOUNT",$A$1:$A$4,$A61:$B61,AI$5:AI$10,"#-6,178")</f>
        <v>#NAME?</v>
      </c>
      <c r="AJ61" s="51"/>
      <c r="AK61" s="69" t="e">
        <f ca="1">_xll.GetCtData("CO-AMOUNT","CONS-AMOUNT",$A$1:$A$4,$A61:$B61,AK$5:AK$10,"#-4,17")</f>
        <v>#NAME?</v>
      </c>
      <c r="AL61" s="51"/>
      <c r="AM61" s="70" t="e">
        <f t="shared" ca="1" si="29"/>
        <v>#NAME?</v>
      </c>
      <c r="AN61" s="53"/>
      <c r="AO61" s="67" t="e">
        <f ca="1">_xll.GetCtData("CO-AMOUNT","CONS-AMOUNT",$A$1:$A$4,$A61:$B61,AO$5:AO$10,"#-82")</f>
        <v>#NAME?</v>
      </c>
      <c r="AP61" s="51"/>
      <c r="AQ61" s="69" t="e">
        <f ca="1">_xll.GetCtData("CO-AMOUNT","CONS-AMOUNT",$A$1:$A$4,$A61:$B61,AQ$5:AQ$10,"#-87,48")</f>
        <v>#NAME?</v>
      </c>
      <c r="AR61" s="51"/>
      <c r="AS61" s="70" t="e">
        <f t="shared" ca="1" si="30"/>
        <v>#NAME?</v>
      </c>
      <c r="AT61" s="53"/>
      <c r="AU61" s="67" t="e">
        <f t="shared" ca="1" si="24"/>
        <v>#NAME?</v>
      </c>
      <c r="AV61" s="51"/>
      <c r="AW61" s="69" t="e">
        <f t="shared" ca="1" si="25"/>
        <v>#NAME?</v>
      </c>
      <c r="AX61" s="51"/>
      <c r="AY61" s="70" t="e">
        <f t="shared" ca="1" si="31"/>
        <v>#NAME?</v>
      </c>
      <c r="BA61" s="67" t="e">
        <f t="shared" ca="1" si="32"/>
        <v>#NAME?</v>
      </c>
      <c r="BB61" s="51"/>
      <c r="BC61" s="69" t="e">
        <f t="shared" ca="1" si="33"/>
        <v>#NAME?</v>
      </c>
      <c r="BD61" s="51"/>
      <c r="BE61" s="70" t="e">
        <f t="shared" ca="1" si="26"/>
        <v>#NAME?</v>
      </c>
      <c r="BG61" s="67" t="e">
        <f ca="1">_xll.GetCtData("CO-AMOUNT","CONS-AMOUNT",$A$1:$A$4,$A61:$B61,BG$5:BG$10,"#-73")</f>
        <v>#NAME?</v>
      </c>
      <c r="BH61" s="51"/>
      <c r="BI61" s="69" t="e">
        <f ca="1">_xll.GetCtData("CO-AMOUNT","CONS-AMOUNT",$A$1:$A$4,$A61:$B61,BI$5:BI$10,"#-72,16")</f>
        <v>#NAME?</v>
      </c>
      <c r="BJ61" s="51"/>
      <c r="BK61" s="70" t="e">
        <f t="shared" ca="1" si="34"/>
        <v>#NAME?</v>
      </c>
      <c r="BL61" s="53"/>
      <c r="BN61" s="67" t="e">
        <f ca="1">_xll.GetCtData("CO-AMOUNT","CONS-AMOUNT",$A$1:$A$4,$A61:$B61,BN$5:BN$10,"#-9")</f>
        <v>#NAME?</v>
      </c>
      <c r="BO61" s="51"/>
      <c r="BP61" s="69" t="e">
        <f ca="1">_xll.GetCtData("CO-AMOUNT","CONS-AMOUNT",$A$1:$A$4,$A61:$B61,BP$5:BP$10,"#-15,32")</f>
        <v>#NAME?</v>
      </c>
      <c r="BQ61" s="51"/>
      <c r="BR61" s="70" t="e">
        <f t="shared" ca="1" si="35"/>
        <v>#NAME?</v>
      </c>
      <c r="BS61" s="53"/>
    </row>
    <row r="62" spans="1:71" s="65" customFormat="1" outlineLevel="1">
      <c r="A62" s="65" t="s">
        <v>313</v>
      </c>
      <c r="B62" s="65" t="s">
        <v>289</v>
      </c>
      <c r="C62" s="65" t="s">
        <v>290</v>
      </c>
      <c r="D62" s="72" t="str">
        <f>CHOOSE([6]Traduction!$A$2,[6]Traduction!$A53,[6]Traduction!$B53)</f>
        <v>o/w Luxembourg</v>
      </c>
      <c r="E62" s="67" t="e">
        <f ca="1">_xll.GetCtData("CO-AMOUNT","CONS-AMOUNT",$A$1:$A$4,$A62:$B62,E$5:E$10,"#109,842")</f>
        <v>#NAME?</v>
      </c>
      <c r="F62" s="68"/>
      <c r="G62" s="69" t="e">
        <f ca="1">_xll.GetCtData("CO-AMOUNT","CONS-AMOUNT",$A$1:$A$4,$A62:$B62,G$5:G$10,"#317,589")</f>
        <v>#NAME?</v>
      </c>
      <c r="H62" s="68"/>
      <c r="I62" s="70" t="e">
        <f t="shared" ca="1" si="12"/>
        <v>#NAME?</v>
      </c>
      <c r="J62" s="71"/>
      <c r="K62" s="67" t="e">
        <f ca="1">_xll.GetCtData("CO-AMOUNT","CONS-AMOUNT",$A$1:$A$4,$A62:$B62,K$5:K$10,"#-374,34")</f>
        <v>#NAME?</v>
      </c>
      <c r="L62" s="68"/>
      <c r="M62" s="69" t="e">
        <f ca="1">_xll.GetCtData("CO-AMOUNT","CONS-AMOUNT",$A$1:$A$4,$A62:$B62,M$5:M$10,"#-428,081")</f>
        <v>#NAME?</v>
      </c>
      <c r="N62" s="51"/>
      <c r="O62" s="70" t="e">
        <f t="shared" ca="1" si="13"/>
        <v>#NAME?</v>
      </c>
      <c r="P62" s="53"/>
      <c r="Q62" s="67" t="e">
        <f ca="1">_xll.GetCtData("CO-AMOUNT","CONS-AMOUNT",$A$1:$A$4,$A62:$B62,Q$5:Q$10,"#-264,498")</f>
        <v>#NAME?</v>
      </c>
      <c r="R62" s="51"/>
      <c r="S62" s="69" t="e">
        <f ca="1">_xll.GetCtData("CO-AMOUNT","CONS-AMOUNT",$A$1:$A$4,$A62:$B62,S$5:S$10,"#-110,492")</f>
        <v>#NAME?</v>
      </c>
      <c r="T62" s="51"/>
      <c r="U62" s="70" t="e">
        <f t="shared" ca="1" si="14"/>
        <v>#NAME?</v>
      </c>
      <c r="V62" s="25"/>
      <c r="W62" s="67" t="e">
        <f ca="1">_xll.GetCtData("CO-AMOUNT","CONS-AMOUNT",$A$1:$A$4,$A62:$B62,W$5:W$10,"#-2,908")</f>
        <v>#NAME?</v>
      </c>
      <c r="X62" s="51"/>
      <c r="Y62" s="69" t="e">
        <f ca="1">_xll.GetCtData("CO-AMOUNT","CONS-AMOUNT",$A$1:$A$4,$A62:$B62,Y$5:Y$10,"#-2,908")</f>
        <v>#NAME?</v>
      </c>
      <c r="Z62" s="51"/>
      <c r="AA62" s="70" t="e">
        <f t="shared" ca="1" si="27"/>
        <v>#NAME?</v>
      </c>
      <c r="AB62" s="53"/>
      <c r="AC62" s="67" t="e">
        <f ca="1">_xll.GetCtData("CO-AMOUNT","CONS-AMOUNT",$A$1:$A$4,$A62:$B62,AC$5:AC$10,"#")</f>
        <v>#NAME?</v>
      </c>
      <c r="AD62" s="51"/>
      <c r="AE62" s="69" t="e">
        <f ca="1">_xll.GetCtData("CO-AMOUNT","CONS-AMOUNT",$A$1:$A$4,$A62:$B62,AE$5:AE$10,"#")</f>
        <v>#NAME?</v>
      </c>
      <c r="AF62" s="51"/>
      <c r="AG62" s="70" t="e">
        <f t="shared" ca="1" si="28"/>
        <v>#NAME?</v>
      </c>
      <c r="AH62" s="53"/>
      <c r="AI62" s="67" t="e">
        <f ca="1">_xll.GetCtData("CO-AMOUNT","CONS-AMOUNT",$A$1:$A$4,$A62:$B62,AI$5:AI$10,"#-4,121")</f>
        <v>#NAME?</v>
      </c>
      <c r="AJ62" s="51"/>
      <c r="AK62" s="69" t="e">
        <f ca="1">_xll.GetCtData("CO-AMOUNT","CONS-AMOUNT",$A$1:$A$4,$A62:$B62,AK$5:AK$10,"#-4,122")</f>
        <v>#NAME?</v>
      </c>
      <c r="AL62" s="51"/>
      <c r="AM62" s="70" t="e">
        <f t="shared" ca="1" si="29"/>
        <v>#NAME?</v>
      </c>
      <c r="AN62" s="53"/>
      <c r="AO62" s="67" t="e">
        <f ca="1">_xll.GetCtData("CO-AMOUNT","CONS-AMOUNT",$A$1:$A$4,$A62:$B62,AO$5:AO$10,"#-20,81")</f>
        <v>#NAME?</v>
      </c>
      <c r="AP62" s="51"/>
      <c r="AQ62" s="69" t="e">
        <f ca="1">_xll.GetCtData("CO-AMOUNT","CONS-AMOUNT",$A$1:$A$4,$A62:$B62,AQ$5:AQ$10,"#-19,965")</f>
        <v>#NAME?</v>
      </c>
      <c r="AR62" s="51"/>
      <c r="AS62" s="70" t="e">
        <f t="shared" ca="1" si="30"/>
        <v>#NAME?</v>
      </c>
      <c r="AT62" s="53"/>
      <c r="AU62" s="67" t="e">
        <f t="shared" ca="1" si="24"/>
        <v>#NAME?</v>
      </c>
      <c r="AV62" s="51"/>
      <c r="AW62" s="69" t="e">
        <f t="shared" ca="1" si="25"/>
        <v>#NAME?</v>
      </c>
      <c r="AX62" s="51"/>
      <c r="AY62" s="70" t="e">
        <f t="shared" ca="1" si="31"/>
        <v>#NAME?</v>
      </c>
      <c r="BA62" s="67" t="e">
        <f t="shared" ca="1" si="32"/>
        <v>#NAME?</v>
      </c>
      <c r="BB62" s="51"/>
      <c r="BC62" s="69" t="e">
        <f t="shared" ca="1" si="33"/>
        <v>#NAME?</v>
      </c>
      <c r="BD62" s="51"/>
      <c r="BE62" s="70" t="e">
        <f t="shared" ca="1" si="26"/>
        <v>#NAME?</v>
      </c>
      <c r="BG62" s="67" t="e">
        <f ca="1">_xll.GetCtData("CO-AMOUNT","CONS-AMOUNT",$A$1:$A$4,$A62:$B62,BG$5:BG$10,"#-20,81")</f>
        <v>#NAME?</v>
      </c>
      <c r="BH62" s="51"/>
      <c r="BI62" s="69" t="e">
        <f ca="1">_xll.GetCtData("CO-AMOUNT","CONS-AMOUNT",$A$1:$A$4,$A62:$B62,BI$5:BI$10,"#-19,965")</f>
        <v>#NAME?</v>
      </c>
      <c r="BJ62" s="51"/>
      <c r="BK62" s="70" t="e">
        <f t="shared" ca="1" si="34"/>
        <v>#NAME?</v>
      </c>
      <c r="BL62" s="53"/>
      <c r="BN62" s="67" t="e">
        <f ca="1">_xll.GetCtData("CO-AMOUNT","CONS-AMOUNT",$A$1:$A$4,$A62:$B62,BN$5:BN$10,"#")</f>
        <v>#NAME?</v>
      </c>
      <c r="BO62" s="51"/>
      <c r="BP62" s="69" t="e">
        <f ca="1">_xll.GetCtData("CO-AMOUNT","CONS-AMOUNT",$A$1:$A$4,$A62:$B62,BP$5:BP$10,"#")</f>
        <v>#NAME?</v>
      </c>
      <c r="BQ62" s="51"/>
      <c r="BR62" s="70" t="e">
        <f t="shared" ca="1" si="35"/>
        <v>#NAME?</v>
      </c>
      <c r="BS62" s="53"/>
    </row>
    <row r="63" spans="1:71" s="65" customFormat="1" outlineLevel="1">
      <c r="A63" s="65" t="s">
        <v>313</v>
      </c>
      <c r="B63" s="65" t="s">
        <v>277</v>
      </c>
      <c r="C63" s="65" t="s">
        <v>278</v>
      </c>
      <c r="D63" s="72" t="str">
        <f>CHOOSE([6]Traduction!$A$2,[6]Traduction!$A46,[6]Traduction!$B46)</f>
        <v>o/w Italy</v>
      </c>
      <c r="E63" s="67" t="e">
        <f ca="1">_xll.GetCtData("CO-AMOUNT","CONS-AMOUNT",$A$1:$A$4,$A63:$B63,E$5:E$10,"#1000,451")</f>
        <v>#NAME?</v>
      </c>
      <c r="F63" s="68"/>
      <c r="G63" s="69" t="e">
        <f ca="1">_xll.GetCtData("CO-AMOUNT","CONS-AMOUNT",$A$1:$A$4,$A63:$B63,G$5:G$10,"#1295,202")</f>
        <v>#NAME?</v>
      </c>
      <c r="H63" s="68"/>
      <c r="I63" s="70" t="e">
        <f t="shared" ca="1" si="12"/>
        <v>#NAME?</v>
      </c>
      <c r="J63" s="71"/>
      <c r="K63" s="67" t="e">
        <f ca="1">_xll.GetCtData("CO-AMOUNT","CONS-AMOUNT",$A$1:$A$4,$A63:$B63,K$5:K$10,"#-2099,936")</f>
        <v>#NAME?</v>
      </c>
      <c r="L63" s="68"/>
      <c r="M63" s="69" t="e">
        <f ca="1">_xll.GetCtData("CO-AMOUNT","CONS-AMOUNT",$A$1:$A$4,$A63:$B63,M$5:M$10,"#-2193,497")</f>
        <v>#NAME?</v>
      </c>
      <c r="N63" s="51"/>
      <c r="O63" s="70" t="e">
        <f t="shared" ca="1" si="13"/>
        <v>#NAME?</v>
      </c>
      <c r="P63" s="53"/>
      <c r="Q63" s="67" t="e">
        <f ca="1">_xll.GetCtData("CO-AMOUNT","CONS-AMOUNT",$A$1:$A$4,$A63:$B63,Q$5:Q$10,"#-1099,485")</f>
        <v>#NAME?</v>
      </c>
      <c r="R63" s="51"/>
      <c r="S63" s="69" t="e">
        <f ca="1">_xll.GetCtData("CO-AMOUNT","CONS-AMOUNT",$A$1:$A$4,$A63:$B63,S$5:S$10,"#-898,294999999999")</f>
        <v>#NAME?</v>
      </c>
      <c r="T63" s="51"/>
      <c r="U63" s="70" t="e">
        <f t="shared" ca="1" si="14"/>
        <v>#NAME?</v>
      </c>
      <c r="V63" s="25"/>
      <c r="W63" s="67" t="e">
        <f ca="1">_xll.GetCtData("CO-AMOUNT","CONS-AMOUNT",$A$1:$A$4,$A63:$B63,W$5:W$10,"#-6,543")</f>
        <v>#NAME?</v>
      </c>
      <c r="X63" s="51"/>
      <c r="Y63" s="69" t="e">
        <f ca="1">_xll.GetCtData("CO-AMOUNT","CONS-AMOUNT",$A$1:$A$4,$A63:$B63,Y$5:Y$10,"#-6,543")</f>
        <v>#NAME?</v>
      </c>
      <c r="Z63" s="51"/>
      <c r="AA63" s="70" t="e">
        <f t="shared" ca="1" si="27"/>
        <v>#NAME?</v>
      </c>
      <c r="AB63" s="53"/>
      <c r="AC63" s="67" t="e">
        <f ca="1">_xll.GetCtData("CO-AMOUNT","CONS-AMOUNT",$A$1:$A$4,$A63:$B63,AC$5:AC$10,"#")</f>
        <v>#NAME?</v>
      </c>
      <c r="AD63" s="51"/>
      <c r="AE63" s="69" t="e">
        <f ca="1">_xll.GetCtData("CO-AMOUNT","CONS-AMOUNT",$A$1:$A$4,$A63:$B63,AE$5:AE$10,"#")</f>
        <v>#NAME?</v>
      </c>
      <c r="AF63" s="51"/>
      <c r="AG63" s="70" t="e">
        <f t="shared" ca="1" si="28"/>
        <v>#NAME?</v>
      </c>
      <c r="AH63" s="53"/>
      <c r="AI63" s="67" t="e">
        <f ca="1">_xll.GetCtData("CO-AMOUNT","CONS-AMOUNT",$A$1:$A$4,$A63:$B63,AI$5:AI$10,"#-9,276")</f>
        <v>#NAME?</v>
      </c>
      <c r="AJ63" s="51"/>
      <c r="AK63" s="69" t="e">
        <f ca="1">_xll.GetCtData("CO-AMOUNT","CONS-AMOUNT",$A$1:$A$4,$A63:$B63,AK$5:AK$10,"#-9,276")</f>
        <v>#NAME?</v>
      </c>
      <c r="AL63" s="51"/>
      <c r="AM63" s="70" t="e">
        <f t="shared" ca="1" si="29"/>
        <v>#NAME?</v>
      </c>
      <c r="AN63" s="53"/>
      <c r="AO63" s="67" t="e">
        <f ca="1">_xll.GetCtData("CO-AMOUNT","CONS-AMOUNT",$A$1:$A$4,$A63:$B63,AO$5:AO$10,"#-83,086")</f>
        <v>#NAME?</v>
      </c>
      <c r="AP63" s="51"/>
      <c r="AQ63" s="69" t="e">
        <f ca="1">_xll.GetCtData("CO-AMOUNT","CONS-AMOUNT",$A$1:$A$4,$A63:$B63,AQ$5:AQ$10,"#-83,077")</f>
        <v>#NAME?</v>
      </c>
      <c r="AR63" s="51"/>
      <c r="AS63" s="70" t="e">
        <f t="shared" ca="1" si="30"/>
        <v>#NAME?</v>
      </c>
      <c r="AT63" s="53"/>
      <c r="AU63" s="67" t="e">
        <f t="shared" ca="1" si="24"/>
        <v>#NAME?</v>
      </c>
      <c r="AV63" s="51"/>
      <c r="AW63" s="69" t="e">
        <f t="shared" ca="1" si="25"/>
        <v>#NAME?</v>
      </c>
      <c r="AX63" s="51"/>
      <c r="AY63" s="70" t="e">
        <f t="shared" ca="1" si="31"/>
        <v>#NAME?</v>
      </c>
      <c r="BA63" s="67" t="e">
        <f t="shared" ca="1" si="32"/>
        <v>#NAME?</v>
      </c>
      <c r="BB63" s="51"/>
      <c r="BC63" s="69" t="e">
        <f t="shared" ca="1" si="33"/>
        <v>#NAME?</v>
      </c>
      <c r="BD63" s="51"/>
      <c r="BE63" s="70" t="e">
        <f t="shared" ca="1" si="26"/>
        <v>#NAME?</v>
      </c>
      <c r="BG63" s="67" t="e">
        <f ca="1">_xll.GetCtData("CO-AMOUNT","CONS-AMOUNT",$A$1:$A$4,$A63:$B63,BG$5:BG$10,"#-74,188")</f>
        <v>#NAME?</v>
      </c>
      <c r="BH63" s="51"/>
      <c r="BI63" s="69" t="e">
        <f ca="1">_xll.GetCtData("CO-AMOUNT","CONS-AMOUNT",$A$1:$A$4,$A63:$B63,BI$5:BI$10,"#-74,18")</f>
        <v>#NAME?</v>
      </c>
      <c r="BJ63" s="51"/>
      <c r="BK63" s="70" t="e">
        <f t="shared" ca="1" si="34"/>
        <v>#NAME?</v>
      </c>
      <c r="BL63" s="53"/>
      <c r="BN63" s="67" t="e">
        <f ca="1">_xll.GetCtData("CO-AMOUNT","CONS-AMOUNT",$A$1:$A$4,$A63:$B63,BN$5:BN$10,"#-8,898")</f>
        <v>#NAME?</v>
      </c>
      <c r="BO63" s="51"/>
      <c r="BP63" s="69" t="e">
        <f ca="1">_xll.GetCtData("CO-AMOUNT","CONS-AMOUNT",$A$1:$A$4,$A63:$B63,BP$5:BP$10,"#-8,897")</f>
        <v>#NAME?</v>
      </c>
      <c r="BQ63" s="51"/>
      <c r="BR63" s="70" t="e">
        <f t="shared" ca="1" si="35"/>
        <v>#NAME?</v>
      </c>
      <c r="BS63" s="53"/>
    </row>
    <row r="64" spans="1:71" s="65" customFormat="1" outlineLevel="1">
      <c r="A64" s="65" t="s">
        <v>313</v>
      </c>
      <c r="B64" s="65" t="s">
        <v>330</v>
      </c>
      <c r="C64" s="65" t="s">
        <v>331</v>
      </c>
      <c r="D64" s="72" t="str">
        <f>CHOOSE([6]Traduction!$A$2,[6]Traduction!$A72,[6]Traduction!$B72)</f>
        <v>o/w Ireland</v>
      </c>
      <c r="E64" s="67" t="e">
        <f ca="1">_xll.GetCtData("CO-AMOUNT","CONS-AMOUNT",$A$1:$A$4,$A64:$B64,E$5:E$10,"#207")</f>
        <v>#NAME?</v>
      </c>
      <c r="F64" s="68"/>
      <c r="G64" s="69" t="e">
        <f ca="1">_xll.GetCtData("CO-AMOUNT","CONS-AMOUNT",$A$1:$A$4,$A64:$B64,G$5:G$10,"#446,2")</f>
        <v>#NAME?</v>
      </c>
      <c r="H64" s="68"/>
      <c r="I64" s="70" t="e">
        <f t="shared" ca="1" si="12"/>
        <v>#NAME?</v>
      </c>
      <c r="J64" s="71"/>
      <c r="K64" s="67" t="e">
        <f ca="1">_xll.GetCtData("CO-AMOUNT","CONS-AMOUNT",$A$1:$A$4,$A64:$B64,K$5:K$10,"#-685,13")</f>
        <v>#NAME?</v>
      </c>
      <c r="L64" s="68"/>
      <c r="M64" s="69" t="e">
        <f ca="1">_xll.GetCtData("CO-AMOUNT","CONS-AMOUNT",$A$1:$A$4,$A64:$B64,M$5:M$10,"#-594,061")</f>
        <v>#NAME?</v>
      </c>
      <c r="N64" s="51"/>
      <c r="O64" s="70" t="e">
        <f t="shared" ca="1" si="13"/>
        <v>#NAME?</v>
      </c>
      <c r="P64" s="53"/>
      <c r="Q64" s="67" t="e">
        <f ca="1">_xll.GetCtData("CO-AMOUNT","CONS-AMOUNT",$A$1:$A$4,$A64:$B64,Q$5:Q$10,"#-478,13")</f>
        <v>#NAME?</v>
      </c>
      <c r="R64" s="51"/>
      <c r="S64" s="69" t="e">
        <f ca="1">_xll.GetCtData("CO-AMOUNT","CONS-AMOUNT",$A$1:$A$4,$A64:$B64,S$5:S$10,"#-147,861")</f>
        <v>#NAME?</v>
      </c>
      <c r="T64" s="51"/>
      <c r="U64" s="70" t="e">
        <f t="shared" ca="1" si="14"/>
        <v>#NAME?</v>
      </c>
      <c r="V64" s="25"/>
      <c r="W64" s="67" t="e">
        <f ca="1">_xll.GetCtData("CO-AMOUNT","CONS-AMOUNT",$A$1:$A$4,$A64:$B64,W$5:W$10,"#")</f>
        <v>#NAME?</v>
      </c>
      <c r="X64" s="51"/>
      <c r="Y64" s="69" t="e">
        <f ca="1">_xll.GetCtData("CO-AMOUNT","CONS-AMOUNT",$A$1:$A$4,$A64:$B64,Y$5:Y$10,"#-1,6")</f>
        <v>#NAME?</v>
      </c>
      <c r="Z64" s="51"/>
      <c r="AA64" s="70" t="e">
        <f t="shared" ca="1" si="27"/>
        <v>#NAME?</v>
      </c>
      <c r="AB64" s="53"/>
      <c r="AC64" s="67" t="e">
        <f ca="1">_xll.GetCtData("CO-AMOUNT","CONS-AMOUNT",$A$1:$A$4,$A64:$B64,AC$5:AC$10,"#")</f>
        <v>#NAME?</v>
      </c>
      <c r="AD64" s="51"/>
      <c r="AE64" s="69" t="e">
        <f ca="1">_xll.GetCtData("CO-AMOUNT","CONS-AMOUNT",$A$1:$A$4,$A64:$B64,AE$5:AE$10,"#")</f>
        <v>#NAME?</v>
      </c>
      <c r="AF64" s="51"/>
      <c r="AG64" s="70" t="e">
        <f t="shared" ca="1" si="28"/>
        <v>#NAME?</v>
      </c>
      <c r="AH64" s="53"/>
      <c r="AI64" s="67" t="e">
        <f ca="1">_xll.GetCtData("CO-AMOUNT","CONS-AMOUNT",$A$1:$A$4,$A64:$B64,AI$5:AI$10,"#")</f>
        <v>#NAME?</v>
      </c>
      <c r="AJ64" s="51"/>
      <c r="AK64" s="69" t="e">
        <f ca="1">_xll.GetCtData("CO-AMOUNT","CONS-AMOUNT",$A$1:$A$4,$A64:$B64,AK$5:AK$10,"#-1,5")</f>
        <v>#NAME?</v>
      </c>
      <c r="AL64" s="51"/>
      <c r="AM64" s="70" t="e">
        <f t="shared" ca="1" si="29"/>
        <v>#NAME?</v>
      </c>
      <c r="AN64" s="53"/>
      <c r="AO64" s="67" t="e">
        <f ca="1">_xll.GetCtData("CO-AMOUNT","CONS-AMOUNT",$A$1:$A$4,$A64:$B64,AO$5:AO$10,"#-18,1")</f>
        <v>#NAME?</v>
      </c>
      <c r="AP64" s="51"/>
      <c r="AQ64" s="69" t="e">
        <f ca="1">_xll.GetCtData("CO-AMOUNT","CONS-AMOUNT",$A$1:$A$4,$A64:$B64,AQ$5:AQ$10,"#-15,183")</f>
        <v>#NAME?</v>
      </c>
      <c r="AR64" s="51"/>
      <c r="AS64" s="70" t="e">
        <f t="shared" ca="1" si="30"/>
        <v>#NAME?</v>
      </c>
      <c r="AT64" s="53"/>
      <c r="AU64" s="67" t="e">
        <f t="shared" ca="1" si="24"/>
        <v>#NAME?</v>
      </c>
      <c r="AV64" s="51"/>
      <c r="AW64" s="69" t="e">
        <f t="shared" ca="1" si="25"/>
        <v>#NAME?</v>
      </c>
      <c r="AX64" s="51"/>
      <c r="AY64" s="70" t="e">
        <f t="shared" ca="1" si="31"/>
        <v>#NAME?</v>
      </c>
      <c r="BA64" s="67" t="e">
        <f t="shared" ca="1" si="32"/>
        <v>#NAME?</v>
      </c>
      <c r="BB64" s="51"/>
      <c r="BC64" s="69" t="e">
        <f t="shared" ca="1" si="33"/>
        <v>#NAME?</v>
      </c>
      <c r="BD64" s="51"/>
      <c r="BE64" s="70" t="e">
        <f t="shared" ca="1" si="26"/>
        <v>#NAME?</v>
      </c>
      <c r="BG64" s="67" t="e">
        <f ca="1">_xll.GetCtData("CO-AMOUNT","CONS-AMOUNT",$A$1:$A$4,$A64:$B64,BG$5:BG$10,"#-18,1")</f>
        <v>#NAME?</v>
      </c>
      <c r="BH64" s="51"/>
      <c r="BI64" s="69" t="e">
        <f ca="1">_xll.GetCtData("CO-AMOUNT","CONS-AMOUNT",$A$1:$A$4,$A64:$B64,BI$5:BI$10,"#-15,183")</f>
        <v>#NAME?</v>
      </c>
      <c r="BJ64" s="51"/>
      <c r="BK64" s="70" t="e">
        <f t="shared" ca="1" si="34"/>
        <v>#NAME?</v>
      </c>
      <c r="BL64" s="53"/>
      <c r="BN64" s="67" t="e">
        <f ca="1">_xll.GetCtData("CO-AMOUNT","CONS-AMOUNT",$A$1:$A$4,$A64:$B64,BN$5:BN$10,"#")</f>
        <v>#NAME?</v>
      </c>
      <c r="BO64" s="51"/>
      <c r="BP64" s="69" t="e">
        <f ca="1">_xll.GetCtData("CO-AMOUNT","CONS-AMOUNT",$A$1:$A$4,$A64:$B64,BP$5:BP$10,"#")</f>
        <v>#NAME?</v>
      </c>
      <c r="BQ64" s="51"/>
      <c r="BR64" s="70" t="e">
        <f t="shared" ca="1" si="35"/>
        <v>#NAME?</v>
      </c>
      <c r="BS64" s="53"/>
    </row>
    <row r="65" spans="1:71" s="65" customFormat="1" outlineLevel="1">
      <c r="A65" s="65" t="s">
        <v>313</v>
      </c>
      <c r="B65" s="65" t="s">
        <v>332</v>
      </c>
      <c r="C65" s="65" t="s">
        <v>333</v>
      </c>
      <c r="D65" s="72" t="str">
        <f>CHOOSE([6]Traduction!$A$2,[6]Traduction!$A76,[6]Traduction!$B76)</f>
        <v>o/w Poland</v>
      </c>
      <c r="E65" s="67" t="e">
        <f ca="1">_xll.GetCtData("CO-AMOUNT","CONS-AMOUNT",$A$1:$A$4,$A65:$B65,E$5:E$10,"#491,489818093343")</f>
        <v>#NAME?</v>
      </c>
      <c r="F65" s="68"/>
      <c r="G65" s="69" t="e">
        <f ca="1">_xll.GetCtData("CO-AMOUNT","CONS-AMOUNT",$A$1:$A$4,$A65:$B65,G$5:G$10,"#865,184101928261")</f>
        <v>#NAME?</v>
      </c>
      <c r="H65" s="68"/>
      <c r="I65" s="70" t="e">
        <f t="shared" ca="1" si="12"/>
        <v>#NAME?</v>
      </c>
      <c r="J65" s="71"/>
      <c r="K65" s="67" t="e">
        <f ca="1">_xll.GetCtData("CO-AMOUNT","CONS-AMOUNT",$A$1:$A$4,$A65:$B65,K$5:K$10,"#-1407,25746208516")</f>
        <v>#NAME?</v>
      </c>
      <c r="L65" s="68"/>
      <c r="M65" s="69" t="e">
        <f ca="1">_xll.GetCtData("CO-AMOUNT","CONS-AMOUNT",$A$1:$A$4,$A65:$B65,M$5:M$10,"#-1523,00358715936")</f>
        <v>#NAME?</v>
      </c>
      <c r="N65" s="51"/>
      <c r="O65" s="70" t="e">
        <f t="shared" ca="1" si="13"/>
        <v>#NAME?</v>
      </c>
      <c r="P65" s="53"/>
      <c r="Q65" s="67" t="e">
        <f ca="1">_xll.GetCtData("CO-AMOUNT","CONS-AMOUNT",$A$1:$A$4,$A65:$B65,Q$5:Q$10,"#-911,515418178705")</f>
        <v>#NAME?</v>
      </c>
      <c r="R65" s="51"/>
      <c r="S65" s="69" t="e">
        <f ca="1">_xll.GetCtData("CO-AMOUNT","CONS-AMOUNT",$A$1:$A$4,$A65:$B65,S$5:S$10,"#-655,793260140789")</f>
        <v>#NAME?</v>
      </c>
      <c r="T65" s="51"/>
      <c r="U65" s="70" t="e">
        <f t="shared" ca="1" si="14"/>
        <v>#NAME?</v>
      </c>
      <c r="V65" s="25"/>
      <c r="W65" s="67" t="e">
        <f ca="1">_xll.GetCtData("CO-AMOUNT","CONS-AMOUNT",$A$1:$A$4,$A65:$B65,W$5:W$10,"#-4,06544712485597")</f>
        <v>#NAME?</v>
      </c>
      <c r="X65" s="51"/>
      <c r="Y65" s="69" t="e">
        <f ca="1">_xll.GetCtData("CO-AMOUNT","CONS-AMOUNT",$A$1:$A$4,$A65:$B65,Y$5:Y$10,"#-6,07060076870971")</f>
        <v>#NAME?</v>
      </c>
      <c r="Z65" s="51"/>
      <c r="AA65" s="70" t="e">
        <f t="shared" ca="1" si="27"/>
        <v>#NAME?</v>
      </c>
      <c r="AB65" s="53"/>
      <c r="AC65" s="67" t="e">
        <f ca="1">_xll.GetCtData("CO-AMOUNT","CONS-AMOUNT",$A$1:$A$4,$A65:$B65,AC$5:AC$10,"#")</f>
        <v>#NAME?</v>
      </c>
      <c r="AD65" s="51"/>
      <c r="AE65" s="69" t="e">
        <f ca="1">_xll.GetCtData("CO-AMOUNT","CONS-AMOUNT",$A$1:$A$4,$A65:$B65,AE$5:AE$10,"#")</f>
        <v>#NAME?</v>
      </c>
      <c r="AF65" s="51"/>
      <c r="AG65" s="70" t="e">
        <f t="shared" ca="1" si="28"/>
        <v>#NAME?</v>
      </c>
      <c r="AH65" s="53"/>
      <c r="AI65" s="67" t="e">
        <f ca="1">_xll.GetCtData("CO-AMOUNT","CONS-AMOUNT",$A$1:$A$4,$A65:$B65,AI$5:AI$10,"#7,64517520830933")</f>
        <v>#NAME?</v>
      </c>
      <c r="AJ65" s="51"/>
      <c r="AK65" s="69" t="e">
        <f ca="1">_xll.GetCtData("CO-AMOUNT","CONS-AMOUNT",$A$1:$A$4,$A65:$B65,AK$5:AK$10,"#6,81345497434792")</f>
        <v>#NAME?</v>
      </c>
      <c r="AL65" s="51"/>
      <c r="AM65" s="70" t="e">
        <f t="shared" ca="1" si="29"/>
        <v>#NAME?</v>
      </c>
      <c r="AN65" s="53"/>
      <c r="AO65" s="67" t="e">
        <f ca="1">_xll.GetCtData("CO-AMOUNT","CONS-AMOUNT",$A$1:$A$4,$A65:$B65,AO$5:AO$10,"#-71,0741315440058")</f>
        <v>#NAME?</v>
      </c>
      <c r="AP65" s="51"/>
      <c r="AQ65" s="69" t="e">
        <f ca="1">_xll.GetCtData("CO-AMOUNT","CONS-AMOUNT",$A$1:$A$4,$A65:$B65,AQ$5:AQ$10,"#-72,1573142541268")</f>
        <v>#NAME?</v>
      </c>
      <c r="AR65" s="51"/>
      <c r="AS65" s="70" t="e">
        <f t="shared" ca="1" si="30"/>
        <v>#NAME?</v>
      </c>
      <c r="AT65" s="53"/>
      <c r="AU65" s="67" t="e">
        <f t="shared" ca="1" si="24"/>
        <v>#NAME?</v>
      </c>
      <c r="AV65" s="51"/>
      <c r="AW65" s="69" t="e">
        <f t="shared" ca="1" si="25"/>
        <v>#NAME?</v>
      </c>
      <c r="AX65" s="51"/>
      <c r="AY65" s="70" t="e">
        <f t="shared" ca="1" si="31"/>
        <v>#NAME?</v>
      </c>
      <c r="BA65" s="67" t="e">
        <f t="shared" ca="1" si="32"/>
        <v>#NAME?</v>
      </c>
      <c r="BB65" s="51"/>
      <c r="BC65" s="69" t="e">
        <f t="shared" ca="1" si="33"/>
        <v>#NAME?</v>
      </c>
      <c r="BD65" s="51"/>
      <c r="BE65" s="70" t="e">
        <f t="shared" ca="1" si="26"/>
        <v>#NAME?</v>
      </c>
      <c r="BG65" s="67" t="e">
        <f ca="1">_xll.GetCtData("CO-AMOUNT","CONS-AMOUNT",$A$1:$A$4,$A65:$B65,BG$5:BG$10,"#-61,4926918050686")</f>
        <v>#NAME?</v>
      </c>
      <c r="BH65" s="51"/>
      <c r="BI65" s="69" t="e">
        <f ca="1">_xll.GetCtData("CO-AMOUNT","CONS-AMOUNT",$A$1:$A$4,$A65:$B65,BI$5:BI$10,"#-62,510421451304")</f>
        <v>#NAME?</v>
      </c>
      <c r="BJ65" s="51"/>
      <c r="BK65" s="70" t="e">
        <f t="shared" ca="1" si="34"/>
        <v>#NAME?</v>
      </c>
      <c r="BL65" s="53"/>
      <c r="BN65" s="67" t="e">
        <f ca="1">_xll.GetCtData("CO-AMOUNT","CONS-AMOUNT",$A$1:$A$4,$A65:$B65,BN$5:BN$10,"#-9,58143973893714")</f>
        <v>#NAME?</v>
      </c>
      <c r="BO65" s="51"/>
      <c r="BP65" s="69" t="e">
        <f ca="1">_xll.GetCtData("CO-AMOUNT","CONS-AMOUNT",$A$1:$A$4,$A65:$B65,BP$5:BP$10,"#-9,64689280282283")</f>
        <v>#NAME?</v>
      </c>
      <c r="BQ65" s="51"/>
      <c r="BR65" s="70" t="e">
        <f t="shared" ca="1" si="35"/>
        <v>#NAME?</v>
      </c>
      <c r="BS65" s="53"/>
    </row>
    <row r="66" spans="1:71" s="65" customFormat="1">
      <c r="A66" s="65" t="s">
        <v>313</v>
      </c>
      <c r="B66" s="65" t="s">
        <v>334</v>
      </c>
      <c r="C66" s="65" t="s">
        <v>335</v>
      </c>
      <c r="D66" s="72" t="str">
        <f>CHOOSE([6]Traduction!$A$2,[6]Traduction!$A77,[6]Traduction!$B77)</f>
        <v>o/w Netherlands</v>
      </c>
      <c r="E66" s="67" t="e">
        <f ca="1">_xll.GetCtData("CO-AMOUNT","CONS-AMOUNT",$A$1:$A$4,$A66:$B66,E$5:E$10,"#580,54")</f>
        <v>#NAME?</v>
      </c>
      <c r="F66" s="68"/>
      <c r="G66" s="69" t="e">
        <f ca="1">_xll.GetCtData("CO-AMOUNT","CONS-AMOUNT",$A$1:$A$4,$A66:$B66,G$5:G$10,"#222,175")</f>
        <v>#NAME?</v>
      </c>
      <c r="H66" s="68"/>
      <c r="I66" s="70" t="e">
        <f t="shared" ca="1" si="12"/>
        <v>#NAME?</v>
      </c>
      <c r="J66" s="71"/>
      <c r="K66" s="67" t="e">
        <f ca="1">_xll.GetCtData("CO-AMOUNT","CONS-AMOUNT",$A$1:$A$4,$A66:$B66,K$5:K$10,"#-1245,272")</f>
        <v>#NAME?</v>
      </c>
      <c r="L66" s="68"/>
      <c r="M66" s="69" t="e">
        <f ca="1">_xll.GetCtData("CO-AMOUNT","CONS-AMOUNT",$A$1:$A$4,$A66:$B66,M$5:M$10,"#-1321,211")</f>
        <v>#NAME?</v>
      </c>
      <c r="N66" s="51"/>
      <c r="O66" s="70" t="e">
        <f t="shared" ca="1" si="13"/>
        <v>#NAME?</v>
      </c>
      <c r="P66" s="53"/>
      <c r="Q66" s="67" t="e">
        <f ca="1">_xll.GetCtData("CO-AMOUNT","CONS-AMOUNT",$A$1:$A$4,$A66:$B66,Q$5:Q$10,"#-664,732")</f>
        <v>#NAME?</v>
      </c>
      <c r="R66" s="51"/>
      <c r="S66" s="69" t="e">
        <f ca="1">_xll.GetCtData("CO-AMOUNT","CONS-AMOUNT",$A$1:$A$4,$A66:$B66,S$5:S$10,"#-1099,036")</f>
        <v>#NAME?</v>
      </c>
      <c r="T66" s="51"/>
      <c r="U66" s="70" t="e">
        <f t="shared" ca="1" si="14"/>
        <v>#NAME?</v>
      </c>
      <c r="V66" s="25"/>
      <c r="W66" s="67" t="e">
        <f ca="1">_xll.GetCtData("CO-AMOUNT","CONS-AMOUNT",$A$1:$A$4,$A66:$B66,W$5:W$10,"#-13")</f>
        <v>#NAME?</v>
      </c>
      <c r="X66" s="51"/>
      <c r="Y66" s="69" t="e">
        <f ca="1">_xll.GetCtData("CO-AMOUNT","CONS-AMOUNT",$A$1:$A$4,$A66:$B66,Y$5:Y$10,"#-16")</f>
        <v>#NAME?</v>
      </c>
      <c r="Z66" s="51"/>
      <c r="AA66" s="70" t="e">
        <f t="shared" ca="1" si="27"/>
        <v>#NAME?</v>
      </c>
      <c r="AB66" s="53"/>
      <c r="AC66" s="67" t="e">
        <f ca="1">_xll.GetCtData("CO-AMOUNT","CONS-AMOUNT",$A$1:$A$4,$A66:$B66,AC$5:AC$10,"#")</f>
        <v>#NAME?</v>
      </c>
      <c r="AD66" s="51"/>
      <c r="AE66" s="69" t="e">
        <f ca="1">_xll.GetCtData("CO-AMOUNT","CONS-AMOUNT",$A$1:$A$4,$A66:$B66,AE$5:AE$10,"#")</f>
        <v>#NAME?</v>
      </c>
      <c r="AF66" s="51"/>
      <c r="AG66" s="70" t="e">
        <f t="shared" ca="1" si="28"/>
        <v>#NAME?</v>
      </c>
      <c r="AH66" s="53"/>
      <c r="AI66" s="67" t="e">
        <f ca="1">_xll.GetCtData("CO-AMOUNT","CONS-AMOUNT",$A$1:$A$4,$A66:$B66,AI$5:AI$10,"#-19")</f>
        <v>#NAME?</v>
      </c>
      <c r="AJ66" s="51"/>
      <c r="AK66" s="69" t="e">
        <f ca="1">_xll.GetCtData("CO-AMOUNT","CONS-AMOUNT",$A$1:$A$4,$A66:$B66,AK$5:AK$10,"#-18")</f>
        <v>#NAME?</v>
      </c>
      <c r="AL66" s="51"/>
      <c r="AM66" s="70" t="e">
        <f t="shared" ca="1" si="29"/>
        <v>#NAME?</v>
      </c>
      <c r="AN66" s="53"/>
      <c r="AO66" s="67" t="e">
        <f ca="1">_xll.GetCtData("CO-AMOUNT","CONS-AMOUNT",$A$1:$A$4,$A66:$B66,AO$5:AO$10,"#-37")</f>
        <v>#NAME?</v>
      </c>
      <c r="AP66" s="51"/>
      <c r="AQ66" s="69" t="e">
        <f ca="1">_xll.GetCtData("CO-AMOUNT","CONS-AMOUNT",$A$1:$A$4,$A66:$B66,AQ$5:AQ$10,"#-36")</f>
        <v>#NAME?</v>
      </c>
      <c r="AR66" s="51"/>
      <c r="AS66" s="70" t="e">
        <f t="shared" ca="1" si="30"/>
        <v>#NAME?</v>
      </c>
      <c r="AT66" s="53"/>
      <c r="AU66" s="67" t="e">
        <f t="shared" ca="1" si="24"/>
        <v>#NAME?</v>
      </c>
      <c r="AV66" s="51"/>
      <c r="AW66" s="69" t="e">
        <f t="shared" ca="1" si="25"/>
        <v>#NAME?</v>
      </c>
      <c r="AX66" s="51"/>
      <c r="AY66" s="70" t="e">
        <f t="shared" ca="1" si="31"/>
        <v>#NAME?</v>
      </c>
      <c r="BA66" s="67" t="e">
        <f t="shared" ca="1" si="32"/>
        <v>#NAME?</v>
      </c>
      <c r="BB66" s="51"/>
      <c r="BC66" s="69" t="e">
        <f t="shared" ca="1" si="33"/>
        <v>#NAME?</v>
      </c>
      <c r="BD66" s="51"/>
      <c r="BE66" s="70" t="e">
        <f t="shared" ca="1" si="26"/>
        <v>#NAME?</v>
      </c>
      <c r="BG66" s="67" t="e">
        <f ca="1">_xll.GetCtData("CO-AMOUNT","CONS-AMOUNT",$A$1:$A$4,$A66:$B66,BG$5:BG$10,"#-30")</f>
        <v>#NAME?</v>
      </c>
      <c r="BH66" s="51"/>
      <c r="BI66" s="69" t="e">
        <f ca="1">_xll.GetCtData("CO-AMOUNT","CONS-AMOUNT",$A$1:$A$4,$A66:$B66,BI$5:BI$10,"#-32")</f>
        <v>#NAME?</v>
      </c>
      <c r="BJ66" s="51"/>
      <c r="BK66" s="70" t="e">
        <f t="shared" ca="1" si="34"/>
        <v>#NAME?</v>
      </c>
      <c r="BL66" s="53"/>
      <c r="BN66" s="67" t="e">
        <f ca="1">_xll.GetCtData("CO-AMOUNT","CONS-AMOUNT",$A$1:$A$4,$A66:$B66,BN$5:BN$10,"#-7")</f>
        <v>#NAME?</v>
      </c>
      <c r="BO66" s="51"/>
      <c r="BP66" s="69" t="e">
        <f ca="1">_xll.GetCtData("CO-AMOUNT","CONS-AMOUNT",$A$1:$A$4,$A66:$B66,BP$5:BP$10,"#-4")</f>
        <v>#NAME?</v>
      </c>
      <c r="BQ66" s="51"/>
      <c r="BR66" s="70" t="e">
        <f t="shared" ca="1" si="35"/>
        <v>#NAME?</v>
      </c>
      <c r="BS66" s="53"/>
    </row>
    <row r="67" spans="1:71" s="131" customFormat="1" ht="13.65" customHeight="1" outlineLevel="1">
      <c r="A67" s="65" t="s">
        <v>336</v>
      </c>
      <c r="B67" s="65" t="s">
        <v>337</v>
      </c>
      <c r="C67" s="65" t="s">
        <v>262</v>
      </c>
      <c r="D67" s="130" t="str">
        <f>CHOOSE([6]Traduction!$A$2,[6]Traduction!$A62,[6]Traduction!$B62)</f>
        <v xml:space="preserve">o/w Coordination Team </v>
      </c>
      <c r="E67" s="67" t="e">
        <f ca="1">_xll.GetCtData("CO-AMOUNT","CONS-AMOUNT",$A$1:$A$4,$A67:$B67,E$5:E$10,"#58,152")</f>
        <v>#NAME?</v>
      </c>
      <c r="F67" s="68"/>
      <c r="G67" s="69" t="e">
        <f ca="1">_xll.GetCtData("CO-AMOUNT","CONS-AMOUNT",$A$1:$A$4,$A67:$B67,G$5:G$10,"#58,963")</f>
        <v>#NAME?</v>
      </c>
      <c r="H67" s="68"/>
      <c r="I67" s="70" t="e">
        <f t="shared" ca="1" si="12"/>
        <v>#NAME?</v>
      </c>
      <c r="J67" s="71"/>
      <c r="K67" s="67" t="e">
        <f ca="1">_xll.GetCtData("CO-AMOUNT","CONS-AMOUNT",$A$1:$A$4,$A67:$B67,K$5:K$10,"#-148,28")</f>
        <v>#NAME?</v>
      </c>
      <c r="L67" s="68"/>
      <c r="M67" s="69" t="e">
        <f ca="1">_xll.GetCtData("CO-AMOUNT","CONS-AMOUNT",$A$1:$A$4,$A67:$B67,M$5:M$10,"#-22,5760000000001")</f>
        <v>#NAME?</v>
      </c>
      <c r="N67" s="51"/>
      <c r="O67" s="70" t="e">
        <f t="shared" ca="1" si="13"/>
        <v>#NAME?</v>
      </c>
      <c r="P67" s="53"/>
      <c r="Q67" s="67" t="e">
        <f ca="1">_xll.GetCtData("CO-AMOUNT","CONS-AMOUNT",$A$1:$A$4,$A67:$B67,Q$5:Q$10,"#-90,128")</f>
        <v>#NAME?</v>
      </c>
      <c r="R67" s="68"/>
      <c r="S67" s="69" t="e">
        <f ca="1">_xll.GetCtData("CO-AMOUNT","CONS-AMOUNT",$A$1:$A$4,$A67:$B67,S$5:S$10,"#36,387")</f>
        <v>#NAME?</v>
      </c>
      <c r="T67" s="51"/>
      <c r="U67" s="70" t="e">
        <f t="shared" ca="1" si="14"/>
        <v>#NAME?</v>
      </c>
      <c r="V67" s="25"/>
      <c r="W67" s="67" t="e">
        <f ca="1">_xll.GetCtData("CO-AMOUNT","CONS-AMOUNT",$A$1:$A$4,$A67:$B67,W$5:W$10,"#")</f>
        <v>#NAME?</v>
      </c>
      <c r="X67" s="68"/>
      <c r="Y67" s="69" t="e">
        <f ca="1">_xll.GetCtData("CO-AMOUNT","CONS-AMOUNT",$A$1:$A$4,$A67:$B67,Y$5:Y$10,"#")</f>
        <v>#NAME?</v>
      </c>
      <c r="Z67" s="51"/>
      <c r="AA67" s="70" t="e">
        <f t="shared" ca="1" si="27"/>
        <v>#NAME?</v>
      </c>
      <c r="AB67" s="53"/>
      <c r="AC67" s="67" t="e">
        <f ca="1">_xll.GetCtData("CO-AMOUNT","CONS-AMOUNT",$A$1:$A$4,$A67:$B67,AC$5:AC$10,"#")</f>
        <v>#NAME?</v>
      </c>
      <c r="AD67" s="68"/>
      <c r="AE67" s="69" t="e">
        <f ca="1">_xll.GetCtData("CO-AMOUNT","CONS-AMOUNT",$A$1:$A$4,$A67:$B67,AE$5:AE$10,"#")</f>
        <v>#NAME?</v>
      </c>
      <c r="AF67" s="51"/>
      <c r="AG67" s="70" t="e">
        <f t="shared" ca="1" si="28"/>
        <v>#NAME?</v>
      </c>
      <c r="AH67" s="53"/>
      <c r="AI67" s="67" t="e">
        <f ca="1">_xll.GetCtData("CO-AMOUNT","CONS-AMOUNT",$A$1:$A$4,$A67:$B67,AI$5:AI$10,"#241,028")</f>
        <v>#NAME?</v>
      </c>
      <c r="AJ67" s="68"/>
      <c r="AK67" s="69" t="e">
        <f ca="1">_xll.GetCtData("CO-AMOUNT","CONS-AMOUNT",$A$1:$A$4,$A67:$B67,AK$5:AK$10,"#583,51")</f>
        <v>#NAME?</v>
      </c>
      <c r="AL67" s="51"/>
      <c r="AM67" s="70" t="e">
        <f t="shared" ca="1" si="29"/>
        <v>#NAME?</v>
      </c>
      <c r="AN67" s="53"/>
      <c r="AO67" s="67" t="e">
        <f ca="1">_xll.GetCtData("CO-AMOUNT","CONS-AMOUNT",$A$1:$A$4,$A67:$B67,AO$5:AO$10,"#")</f>
        <v>#NAME?</v>
      </c>
      <c r="AP67" s="68"/>
      <c r="AQ67" s="69" t="e">
        <f ca="1">_xll.GetCtData("CO-AMOUNT","CONS-AMOUNT",$A$1:$A$4,$A67:$B67,AQ$5:AQ$10,"#")</f>
        <v>#NAME?</v>
      </c>
      <c r="AR67" s="51"/>
      <c r="AS67" s="70" t="e">
        <f t="shared" ca="1" si="30"/>
        <v>#NAME?</v>
      </c>
      <c r="AT67" s="53"/>
      <c r="AU67" s="67" t="e">
        <f t="shared" ca="1" si="24"/>
        <v>#NAME?</v>
      </c>
      <c r="AV67" s="68"/>
      <c r="AW67" s="69" t="e">
        <f t="shared" ca="1" si="25"/>
        <v>#NAME?</v>
      </c>
      <c r="AX67" s="51"/>
      <c r="AY67" s="70" t="e">
        <f t="shared" ca="1" si="31"/>
        <v>#NAME?</v>
      </c>
      <c r="AZ67" s="65"/>
      <c r="BA67" s="67" t="e">
        <f t="shared" ca="1" si="32"/>
        <v>#NAME?</v>
      </c>
      <c r="BB67" s="68"/>
      <c r="BC67" s="69" t="e">
        <f t="shared" ca="1" si="33"/>
        <v>#NAME?</v>
      </c>
      <c r="BD67" s="51"/>
      <c r="BE67" s="70" t="e">
        <f t="shared" ca="1" si="26"/>
        <v>#NAME?</v>
      </c>
      <c r="BG67" s="132" t="e">
        <f ca="1">_xll.GetCtData("CO-AMOUNT","CONS-AMOUNT",$A$1:$A$4,$A67:$B67,BG$5:BG$10,"#")</f>
        <v>#NAME?</v>
      </c>
      <c r="BH67" s="133"/>
      <c r="BI67" s="134" t="e">
        <f ca="1">_xll.GetCtData("CO-AMOUNT","CONS-AMOUNT",$A$1:$A$4,$A67:$B67,BI$5:BI$10,"#")</f>
        <v>#NAME?</v>
      </c>
      <c r="BJ67" s="135"/>
      <c r="BK67" s="136" t="e">
        <f t="shared" ca="1" si="34"/>
        <v>#NAME?</v>
      </c>
      <c r="BL67" s="135"/>
      <c r="BN67" s="132" t="e">
        <f ca="1">_xll.GetCtData("CO-AMOUNT","CONS-AMOUNT",$A$1:$A$4,$A67:$B67,BN$5:BN$10,"#")</f>
        <v>#NAME?</v>
      </c>
      <c r="BO67" s="133"/>
      <c r="BP67" s="134" t="e">
        <f ca="1">_xll.GetCtData("CO-AMOUNT","CONS-AMOUNT",$A$1:$A$4,$A67:$B67,BP$5:BP$10,"#")</f>
        <v>#NAME?</v>
      </c>
      <c r="BQ67" s="135"/>
      <c r="BR67" s="136" t="e">
        <f t="shared" ca="1" si="35"/>
        <v>#NAME?</v>
      </c>
      <c r="BS67" s="135"/>
    </row>
    <row r="68" spans="1:71" s="131" customFormat="1" outlineLevel="1">
      <c r="A68" s="65" t="s">
        <v>338</v>
      </c>
      <c r="B68" s="65" t="s">
        <v>337</v>
      </c>
      <c r="C68" s="71" t="s">
        <v>262</v>
      </c>
      <c r="D68" s="130" t="str">
        <f>CHOOSE([6]Traduction!$A$2,[6]Traduction!$A79,[6]Traduction!$B79)</f>
        <v>o/w Holding BNPP RE</v>
      </c>
      <c r="E68" s="67" t="e">
        <f ca="1">_xll.GetCtData("CO-AMOUNT","CONS-AMOUNT",$A$1:$A$4,$A68:$B68,E$5:E$10,"#")</f>
        <v>#NAME?</v>
      </c>
      <c r="F68" s="68"/>
      <c r="G68" s="69" t="e">
        <f ca="1">_xll.GetCtData("CO-AMOUNT","CONS-AMOUNT",$A$1:$A$4,$A68:$B68,G$5:G$10,"#")</f>
        <v>#NAME?</v>
      </c>
      <c r="H68" s="68"/>
      <c r="I68" s="70" t="e">
        <f t="shared" ca="1" si="12"/>
        <v>#NAME?</v>
      </c>
      <c r="J68" s="71"/>
      <c r="K68" s="67" t="e">
        <f ca="1">_xll.GetCtData("CO-AMOUNT","CONS-AMOUNT",$A$1:$A$4,$A68:$B68,K$5:K$10,"#")</f>
        <v>#NAME?</v>
      </c>
      <c r="L68" s="68"/>
      <c r="M68" s="69" t="e">
        <f ca="1">_xll.GetCtData("CO-AMOUNT","CONS-AMOUNT",$A$1:$A$4,$A68:$B68,M$5:M$10,"#")</f>
        <v>#NAME?</v>
      </c>
      <c r="N68" s="51"/>
      <c r="O68" s="70" t="e">
        <f t="shared" ca="1" si="13"/>
        <v>#NAME?</v>
      </c>
      <c r="P68" s="53"/>
      <c r="Q68" s="67" t="e">
        <f ca="1">_xll.GetCtData("CO-AMOUNT","CONS-AMOUNT",$A$1:$A$4,$A68:$B68,Q$5:Q$10,"#")</f>
        <v>#NAME?</v>
      </c>
      <c r="R68" s="68"/>
      <c r="S68" s="69" t="e">
        <f ca="1">_xll.GetCtData("CO-AMOUNT","CONS-AMOUNT",$A$1:$A$4,$A68:$B68,S$5:S$10,"#")</f>
        <v>#NAME?</v>
      </c>
      <c r="T68" s="51"/>
      <c r="U68" s="70" t="e">
        <f t="shared" ca="1" si="14"/>
        <v>#NAME?</v>
      </c>
      <c r="V68" s="25"/>
      <c r="W68" s="67" t="e">
        <f ca="1">_xll.GetCtData("CO-AMOUNT","CONS-AMOUNT",$A$1:$A$4,$A68:$B68,W$5:W$10,"#")</f>
        <v>#NAME?</v>
      </c>
      <c r="X68" s="68"/>
      <c r="Y68" s="69" t="e">
        <f ca="1">_xll.GetCtData("CO-AMOUNT","CONS-AMOUNT",$A$1:$A$4,$A68:$B68,Y$5:Y$10,"#")</f>
        <v>#NAME?</v>
      </c>
      <c r="Z68" s="51"/>
      <c r="AA68" s="70" t="e">
        <f t="shared" ca="1" si="27"/>
        <v>#NAME?</v>
      </c>
      <c r="AB68" s="53"/>
      <c r="AC68" s="67" t="e">
        <f ca="1">_xll.GetCtData("CO-AMOUNT","CONS-AMOUNT",$A$1:$A$4,$A68:$B68,AC$5:AC$10,"#")</f>
        <v>#NAME?</v>
      </c>
      <c r="AD68" s="68"/>
      <c r="AE68" s="69" t="e">
        <f ca="1">_xll.GetCtData("CO-AMOUNT","CONS-AMOUNT",$A$1:$A$4,$A68:$B68,AE$5:AE$10,"#")</f>
        <v>#NAME?</v>
      </c>
      <c r="AF68" s="51"/>
      <c r="AG68" s="70" t="e">
        <f t="shared" ca="1" si="28"/>
        <v>#NAME?</v>
      </c>
      <c r="AH68" s="53"/>
      <c r="AI68" s="67" t="e">
        <f ca="1">_xll.GetCtData("CO-AMOUNT","CONS-AMOUNT",$A$1:$A$4,$A68:$B68,AI$5:AI$10,"#")</f>
        <v>#NAME?</v>
      </c>
      <c r="AJ68" s="68"/>
      <c r="AK68" s="69" t="e">
        <f ca="1">_xll.GetCtData("CO-AMOUNT","CONS-AMOUNT",$A$1:$A$4,$A68:$B68,AK$5:AK$10,"#")</f>
        <v>#NAME?</v>
      </c>
      <c r="AL68" s="51"/>
      <c r="AM68" s="70" t="e">
        <f t="shared" ca="1" si="29"/>
        <v>#NAME?</v>
      </c>
      <c r="AN68" s="53"/>
      <c r="AO68" s="67" t="e">
        <f ca="1">_xll.GetCtData("CO-AMOUNT","CONS-AMOUNT",$A$1:$A$4,$A68:$B68,AO$5:AO$10,"#")</f>
        <v>#NAME?</v>
      </c>
      <c r="AP68" s="68"/>
      <c r="AQ68" s="69" t="e">
        <f ca="1">_xll.GetCtData("CO-AMOUNT","CONS-AMOUNT",$A$1:$A$4,$A68:$B68,AQ$5:AQ$10,"#")</f>
        <v>#NAME?</v>
      </c>
      <c r="AR68" s="51"/>
      <c r="AS68" s="70" t="e">
        <f t="shared" ca="1" si="30"/>
        <v>#NAME?</v>
      </c>
      <c r="AT68" s="53"/>
      <c r="AU68" s="67" t="e">
        <f t="shared" ca="1" si="24"/>
        <v>#NAME?</v>
      </c>
      <c r="AV68" s="68"/>
      <c r="AW68" s="69" t="e">
        <f t="shared" ca="1" si="25"/>
        <v>#NAME?</v>
      </c>
      <c r="AX68" s="51"/>
      <c r="AY68" s="70" t="e">
        <f t="shared" ca="1" si="31"/>
        <v>#NAME?</v>
      </c>
      <c r="AZ68" s="65"/>
      <c r="BA68" s="67" t="e">
        <f t="shared" ca="1" si="32"/>
        <v>#NAME?</v>
      </c>
      <c r="BB68" s="68"/>
      <c r="BC68" s="69" t="e">
        <f t="shared" ca="1" si="33"/>
        <v>#NAME?</v>
      </c>
      <c r="BD68" s="51"/>
      <c r="BE68" s="70" t="e">
        <f t="shared" ca="1" si="26"/>
        <v>#NAME?</v>
      </c>
      <c r="BG68" s="132" t="e">
        <f ca="1">_xll.GetCtData("CO-AMOUNT","CONS-AMOUNT",$A$1:$A$4,$A68:$B68,BG$5:BG$10,"#")</f>
        <v>#NAME?</v>
      </c>
      <c r="BH68" s="133"/>
      <c r="BI68" s="134" t="e">
        <f ca="1">_xll.GetCtData("CO-AMOUNT","CONS-AMOUNT",$A$1:$A$4,$A68:$B68,BI$5:BI$10,"#")</f>
        <v>#NAME?</v>
      </c>
      <c r="BJ68" s="135"/>
      <c r="BK68" s="136" t="e">
        <f t="shared" ca="1" si="34"/>
        <v>#NAME?</v>
      </c>
      <c r="BL68" s="135"/>
      <c r="BN68" s="132" t="e">
        <f ca="1">_xll.GetCtData("CO-AMOUNT","CONS-AMOUNT",$A$1:$A$4,$A68:$B68,BN$5:BN$10,"#")</f>
        <v>#NAME?</v>
      </c>
      <c r="BO68" s="133"/>
      <c r="BP68" s="134" t="e">
        <f ca="1">_xll.GetCtData("CO-AMOUNT","CONS-AMOUNT",$A$1:$A$4,$A68:$B68,BP$5:BP$10,"#")</f>
        <v>#NAME?</v>
      </c>
      <c r="BQ68" s="135"/>
      <c r="BR68" s="136" t="e">
        <f t="shared" ca="1" si="35"/>
        <v>#NAME?</v>
      </c>
      <c r="BS68" s="135"/>
    </row>
    <row r="69" spans="1:71" s="44" customFormat="1">
      <c r="D69" s="86" t="s">
        <v>339</v>
      </c>
      <c r="E69" s="87" t="e">
        <f ca="1">SUM(E70:E82)-E75</f>
        <v>#NAME?</v>
      </c>
      <c r="F69" s="47"/>
      <c r="G69" s="88" t="e">
        <f ca="1">SUM(G70:G82)-G75</f>
        <v>#NAME?</v>
      </c>
      <c r="H69" s="47"/>
      <c r="I69" s="89" t="e">
        <f t="shared" ca="1" si="12"/>
        <v>#NAME?</v>
      </c>
      <c r="K69" s="87" t="e">
        <f ca="1">SUM(K70:K82)-K75</f>
        <v>#NAME?</v>
      </c>
      <c r="L69" s="47"/>
      <c r="M69" s="88" t="e">
        <f ca="1">SUM(M70:M82)-M75</f>
        <v>#NAME?</v>
      </c>
      <c r="N69" s="51"/>
      <c r="O69" s="52" t="e">
        <f t="shared" ca="1" si="13"/>
        <v>#NAME?</v>
      </c>
      <c r="P69" s="53"/>
      <c r="Q69" s="87" t="e">
        <f ca="1">SUM(Q70:Q82)-Q75</f>
        <v>#NAME?</v>
      </c>
      <c r="R69" s="47"/>
      <c r="S69" s="88" t="e">
        <f ca="1">SUM(S70:S82)-S75</f>
        <v>#NAME?</v>
      </c>
      <c r="T69" s="51"/>
      <c r="U69" s="89" t="e">
        <f t="shared" ca="1" si="14"/>
        <v>#NAME?</v>
      </c>
      <c r="V69" s="25"/>
      <c r="W69" s="87" t="e">
        <f ca="1">SUM(W70:W82)-W75</f>
        <v>#NAME?</v>
      </c>
      <c r="X69" s="47"/>
      <c r="Y69" s="88" t="e">
        <f ca="1">SUM(Y70:Y82)-Y75</f>
        <v>#NAME?</v>
      </c>
      <c r="Z69" s="51"/>
      <c r="AA69" s="89" t="e">
        <f t="shared" ca="1" si="27"/>
        <v>#NAME?</v>
      </c>
      <c r="AB69" s="53"/>
      <c r="AC69" s="87" t="e">
        <f ca="1">SUM(AC70:AC82)-AC75</f>
        <v>#NAME?</v>
      </c>
      <c r="AD69" s="47"/>
      <c r="AE69" s="88" t="e">
        <f ca="1">SUM(AE70:AE82)-AE75</f>
        <v>#NAME?</v>
      </c>
      <c r="AF69" s="51"/>
      <c r="AG69" s="89" t="e">
        <f t="shared" ca="1" si="28"/>
        <v>#NAME?</v>
      </c>
      <c r="AH69" s="53"/>
      <c r="AI69" s="87" t="e">
        <f ca="1">SUM(AI70:AI82)-AI75</f>
        <v>#NAME?</v>
      </c>
      <c r="AJ69" s="47"/>
      <c r="AK69" s="88" t="e">
        <f ca="1">SUM(AK70:AK82)-AK75</f>
        <v>#NAME?</v>
      </c>
      <c r="AL69" s="51"/>
      <c r="AM69" s="89" t="e">
        <f t="shared" ca="1" si="29"/>
        <v>#NAME?</v>
      </c>
      <c r="AN69" s="53"/>
      <c r="AO69" s="87" t="e">
        <f ca="1">SUM(AO70:AO82)-AO75</f>
        <v>#NAME?</v>
      </c>
      <c r="AP69" s="47"/>
      <c r="AQ69" s="88" t="e">
        <f ca="1">SUM(AQ70:AQ82)-AQ75</f>
        <v>#NAME?</v>
      </c>
      <c r="AR69" s="51"/>
      <c r="AS69" s="89" t="e">
        <f t="shared" ca="1" si="30"/>
        <v>#NAME?</v>
      </c>
      <c r="AT69" s="53"/>
      <c r="AU69" s="87" t="e">
        <f t="shared" ca="1" si="24"/>
        <v>#NAME?</v>
      </c>
      <c r="AV69" s="51"/>
      <c r="AW69" s="88" t="e">
        <f t="shared" ca="1" si="25"/>
        <v>#NAME?</v>
      </c>
      <c r="AX69" s="51"/>
      <c r="AY69" s="89" t="e">
        <f t="shared" ca="1" si="31"/>
        <v>#NAME?</v>
      </c>
      <c r="AZ69" s="65"/>
      <c r="BA69" s="87" t="e">
        <f t="shared" ca="1" si="32"/>
        <v>#NAME?</v>
      </c>
      <c r="BB69" s="51"/>
      <c r="BC69" s="88" t="e">
        <f t="shared" ca="1" si="33"/>
        <v>#NAME?</v>
      </c>
      <c r="BD69" s="51"/>
      <c r="BE69" s="89" t="e">
        <f t="shared" ca="1" si="26"/>
        <v>#NAME?</v>
      </c>
      <c r="BG69" s="87" t="e">
        <f ca="1">SUM(BG70:BG82)-BG75-#REF!</f>
        <v>#NAME?</v>
      </c>
      <c r="BH69" s="51"/>
      <c r="BI69" s="88" t="e">
        <f ca="1">SUM(BI70:BI82)-BI75-#REF!</f>
        <v>#NAME?</v>
      </c>
      <c r="BJ69" s="51"/>
      <c r="BK69" s="89" t="e">
        <f t="shared" ca="1" si="34"/>
        <v>#NAME?</v>
      </c>
      <c r="BL69" s="53"/>
      <c r="BN69" s="87" t="e">
        <f ca="1">SUM(BN70:BN82)-BN75-#REF!</f>
        <v>#NAME?</v>
      </c>
      <c r="BO69" s="51"/>
      <c r="BP69" s="88" t="e">
        <f ca="1">SUM(BP70:BP82)-BP75-#REF!</f>
        <v>#NAME?</v>
      </c>
      <c r="BQ69" s="51"/>
      <c r="BR69" s="89" t="e">
        <f t="shared" ca="1" si="35"/>
        <v>#NAME?</v>
      </c>
      <c r="BS69" s="53"/>
    </row>
    <row r="70" spans="1:71" s="64" customFormat="1" ht="15" customHeight="1" outlineLevel="1">
      <c r="A70" s="54" t="s">
        <v>340</v>
      </c>
      <c r="B70" s="55" t="s">
        <v>261</v>
      </c>
      <c r="C70" s="55" t="s">
        <v>294</v>
      </c>
      <c r="D70" s="56" t="s">
        <v>263</v>
      </c>
      <c r="E70" s="57" t="e">
        <f ca="1">_xll.GetCtData("CO-AMOUNT","CONS-AMOUNT",$A$1:$A$4,$A70:$B70,E$5:E$10,"#")</f>
        <v>#NAME?</v>
      </c>
      <c r="F70" s="58"/>
      <c r="G70" s="59" t="e">
        <f ca="1">_xll.GetCtData("CO-AMOUNT","CONS-AMOUNT",$A$1:$A$4,$A70:$B70,G$5:G$10,"#")</f>
        <v>#NAME?</v>
      </c>
      <c r="H70" s="58"/>
      <c r="I70" s="137" t="e">
        <f t="shared" ca="1" si="12"/>
        <v>#NAME?</v>
      </c>
      <c r="J70" s="91"/>
      <c r="K70" s="57" t="e">
        <f ca="1">_xll.GetCtData("CO-AMOUNT","CONS-AMOUNT",$A$1:$A$4,$A70:$B70,K$5:K$10,"#")</f>
        <v>#NAME?</v>
      </c>
      <c r="L70" s="58"/>
      <c r="M70" s="59" t="e">
        <f ca="1">_xll.GetCtData("CO-AMOUNT","CONS-AMOUNT",$A$1:$A$4,$A70:$B70,M$5:M$10,"#")</f>
        <v>#NAME?</v>
      </c>
      <c r="N70" s="62"/>
      <c r="O70" s="137" t="e">
        <f t="shared" ca="1" si="13"/>
        <v>#NAME?</v>
      </c>
      <c r="P70" s="63"/>
      <c r="Q70" s="57" t="e">
        <f ca="1">_xll.GetCtData("CO-AMOUNT","CONS-AMOUNT",$A$1:$A$4,$A70:$B70,Q$5:Q$10,"#")</f>
        <v>#NAME?</v>
      </c>
      <c r="R70" s="62"/>
      <c r="S70" s="59" t="e">
        <f ca="1">_xll.GetCtData("CO-AMOUNT","CONS-AMOUNT",$A$1:$A$4,$A70:$B70,S$5:S$10,"#")</f>
        <v>#NAME?</v>
      </c>
      <c r="T70" s="62"/>
      <c r="U70" s="137" t="e">
        <f t="shared" ca="1" si="14"/>
        <v>#NAME?</v>
      </c>
      <c r="V70" s="25"/>
      <c r="W70" s="57" t="e">
        <f ca="1">_xll.GetCtData("CO-AMOUNT","CONS-AMOUNT",$A$1:$A$4,$A70:$B70,W$5:W$10,"#")</f>
        <v>#NAME?</v>
      </c>
      <c r="X70" s="62"/>
      <c r="Y70" s="59" t="e">
        <f ca="1">_xll.GetCtData("CO-AMOUNT","CONS-AMOUNT",$A$1:$A$4,$A70:$B70,Y$5:Y$10,"#")</f>
        <v>#NAME?</v>
      </c>
      <c r="Z70" s="62"/>
      <c r="AA70" s="137" t="e">
        <f t="shared" ca="1" si="27"/>
        <v>#NAME?</v>
      </c>
      <c r="AB70" s="63"/>
      <c r="AC70" s="57" t="e">
        <f ca="1">_xll.GetCtData("CO-AMOUNT","CONS-AMOUNT",$A$1:$A$4,$A70:$B70,AC$5:AC$10,"#")</f>
        <v>#NAME?</v>
      </c>
      <c r="AD70" s="62"/>
      <c r="AE70" s="59" t="e">
        <f ca="1">_xll.GetCtData("CO-AMOUNT","CONS-AMOUNT",$A$1:$A$4,$A70:$B70,AE$5:AE$10,"#")</f>
        <v>#NAME?</v>
      </c>
      <c r="AF70" s="62"/>
      <c r="AG70" s="137" t="e">
        <f t="shared" ca="1" si="28"/>
        <v>#NAME?</v>
      </c>
      <c r="AH70" s="63"/>
      <c r="AI70" s="57" t="e">
        <f ca="1">_xll.GetCtData("CO-AMOUNT","CONS-AMOUNT",$A$1:$A$4,$A70:$B70,AI$5:AI$10,"#")</f>
        <v>#NAME?</v>
      </c>
      <c r="AJ70" s="62"/>
      <c r="AK70" s="59" t="e">
        <f ca="1">_xll.GetCtData("CO-AMOUNT","CONS-AMOUNT",$A$1:$A$4,$A70:$B70,AK$5:AK$10,"#")</f>
        <v>#NAME?</v>
      </c>
      <c r="AL70" s="62"/>
      <c r="AM70" s="137" t="e">
        <f t="shared" ca="1" si="29"/>
        <v>#NAME?</v>
      </c>
      <c r="AN70" s="63"/>
      <c r="AO70" s="57" t="e">
        <f ca="1">_xll.GetCtData("CO-AMOUNT","CONS-AMOUNT",$A$1:$A$4,$A70:$B70,AO$5:AO$10,"#")</f>
        <v>#NAME?</v>
      </c>
      <c r="AP70" s="62"/>
      <c r="AQ70" s="59" t="e">
        <f ca="1">_xll.GetCtData("CO-AMOUNT","CONS-AMOUNT",$A$1:$A$4,$A70:$B70,AQ$5:AQ$10,"#")</f>
        <v>#NAME?</v>
      </c>
      <c r="AR70" s="62"/>
      <c r="AS70" s="137" t="e">
        <f t="shared" ca="1" si="30"/>
        <v>#NAME?</v>
      </c>
      <c r="AT70" s="63"/>
      <c r="AU70" s="57" t="e">
        <f t="shared" ca="1" si="24"/>
        <v>#NAME?</v>
      </c>
      <c r="AV70" s="62"/>
      <c r="AW70" s="59" t="e">
        <f t="shared" ca="1" si="25"/>
        <v>#NAME?</v>
      </c>
      <c r="AX70" s="62"/>
      <c r="AY70" s="137" t="e">
        <f t="shared" ca="1" si="31"/>
        <v>#NAME?</v>
      </c>
      <c r="AZ70" s="65"/>
      <c r="BA70" s="57" t="e">
        <f t="shared" ca="1" si="32"/>
        <v>#NAME?</v>
      </c>
      <c r="BB70" s="62"/>
      <c r="BC70" s="59" t="e">
        <f t="shared" ca="1" si="33"/>
        <v>#NAME?</v>
      </c>
      <c r="BD70" s="62"/>
      <c r="BE70" s="137" t="e">
        <f t="shared" ca="1" si="26"/>
        <v>#NAME?</v>
      </c>
      <c r="BG70" s="57" t="e">
        <f ca="1">_xll.GetCtData("CO-AMOUNT","CONS-AMOUNT",$A$1:$A$4,$A70:$B70,BG$5:BG$10,"#")</f>
        <v>#NAME?</v>
      </c>
      <c r="BH70" s="62"/>
      <c r="BI70" s="59" t="e">
        <f ca="1">_xll.GetCtData("CO-AMOUNT","CONS-AMOUNT",$A$1:$A$4,$A70:$B70,BI$5:BI$10,"#")</f>
        <v>#NAME?</v>
      </c>
      <c r="BJ70" s="62"/>
      <c r="BK70" s="137" t="e">
        <f t="shared" ca="1" si="34"/>
        <v>#NAME?</v>
      </c>
      <c r="BL70" s="63"/>
      <c r="BN70" s="57" t="e">
        <f ca="1">_xll.GetCtData("CO-AMOUNT","CONS-AMOUNT",$A$1:$A$4,$A70:$B70,BN$5:BN$10,"#")</f>
        <v>#NAME?</v>
      </c>
      <c r="BO70" s="62"/>
      <c r="BP70" s="59" t="e">
        <f ca="1">_xll.GetCtData("CO-AMOUNT","CONS-AMOUNT",$A$1:$A$4,$A70:$B70,BP$5:BP$10,"#")</f>
        <v>#NAME?</v>
      </c>
      <c r="BQ70" s="62"/>
      <c r="BR70" s="137" t="e">
        <f t="shared" ca="1" si="35"/>
        <v>#NAME?</v>
      </c>
      <c r="BS70" s="63"/>
    </row>
    <row r="71" spans="1:71" s="65" customFormat="1" outlineLevel="1">
      <c r="A71" s="65" t="s">
        <v>341</v>
      </c>
      <c r="B71" s="65" t="s">
        <v>267</v>
      </c>
      <c r="C71" s="65" t="s">
        <v>262</v>
      </c>
      <c r="D71" s="130" t="str">
        <f>CHOOSE([6]Traduction!$A$2,[6]Traduction!$A80,[6]Traduction!$B80)</f>
        <v>o/w Holding PM (incl. PDI)</v>
      </c>
      <c r="E71" s="67" t="e">
        <f ca="1">_xll.GetCtData("CO-AMOUNT","CONS-AMOUNT",$A$1:$A$4,$A71:$B71,E$5:E$10,"#")</f>
        <v>#NAME?</v>
      </c>
      <c r="F71" s="68"/>
      <c r="G71" s="69" t="e">
        <f ca="1">_xll.GetCtData("CO-AMOUNT","CONS-AMOUNT",$A$1:$A$4,$A71:$B71,G$5:G$10,"#")</f>
        <v>#NAME?</v>
      </c>
      <c r="H71" s="68"/>
      <c r="I71" s="90" t="e">
        <f t="shared" ca="1" si="12"/>
        <v>#NAME?</v>
      </c>
      <c r="J71" s="71"/>
      <c r="K71" s="67" t="e">
        <f ca="1">_xll.GetCtData("CO-AMOUNT","CONS-AMOUNT",$A$1:$A$4,$A71:$B71,K$5:K$10,"#-598,595")</f>
        <v>#NAME?</v>
      </c>
      <c r="L71" s="68"/>
      <c r="M71" s="69" t="e">
        <f ca="1">_xll.GetCtData("CO-AMOUNT","CONS-AMOUNT",$A$1:$A$4,$A71:$B71,M$5:M$10,"#-516,538")</f>
        <v>#NAME?</v>
      </c>
      <c r="N71" s="51"/>
      <c r="O71" s="70" t="e">
        <f t="shared" ca="1" si="13"/>
        <v>#NAME?</v>
      </c>
      <c r="P71" s="53"/>
      <c r="Q71" s="67" t="e">
        <f ca="1">_xll.GetCtData("CO-AMOUNT","CONS-AMOUNT",$A$1:$A$4,$A71:$B71,Q$5:Q$10,"#-598,595")</f>
        <v>#NAME?</v>
      </c>
      <c r="R71" s="51"/>
      <c r="S71" s="69" t="e">
        <f ca="1">_xll.GetCtData("CO-AMOUNT","CONS-AMOUNT",$A$1:$A$4,$A71:$B71,S$5:S$10,"#-516,538")</f>
        <v>#NAME?</v>
      </c>
      <c r="T71" s="51"/>
      <c r="U71" s="90" t="e">
        <f t="shared" ca="1" si="14"/>
        <v>#NAME?</v>
      </c>
      <c r="V71" s="25"/>
      <c r="W71" s="67" t="e">
        <f ca="1">_xll.GetCtData("CO-AMOUNT","CONS-AMOUNT",$A$1:$A$4,$A71:$B71,W$5:W$10,"#-25")</f>
        <v>#NAME?</v>
      </c>
      <c r="X71" s="51"/>
      <c r="Y71" s="69" t="e">
        <f ca="1">_xll.GetCtData("CO-AMOUNT","CONS-AMOUNT",$A$1:$A$4,$A71:$B71,Y$5:Y$10,"#-25")</f>
        <v>#NAME?</v>
      </c>
      <c r="Z71" s="51"/>
      <c r="AA71" s="90" t="e">
        <f t="shared" ca="1" si="27"/>
        <v>#NAME?</v>
      </c>
      <c r="AB71" s="53"/>
      <c r="AC71" s="67" t="e">
        <f ca="1">_xll.GetCtData("CO-AMOUNT","CONS-AMOUNT",$A$1:$A$4,$A71:$B71,AC$5:AC$10,"#")</f>
        <v>#NAME?</v>
      </c>
      <c r="AD71" s="51"/>
      <c r="AE71" s="69" t="e">
        <f ca="1">_xll.GetCtData("CO-AMOUNT","CONS-AMOUNT",$A$1:$A$4,$A71:$B71,AE$5:AE$10,"#")</f>
        <v>#NAME?</v>
      </c>
      <c r="AF71" s="51"/>
      <c r="AG71" s="90" t="e">
        <f t="shared" ca="1" si="28"/>
        <v>#NAME?</v>
      </c>
      <c r="AH71" s="53"/>
      <c r="AI71" s="67" t="e">
        <f ca="1">_xll.GetCtData("CO-AMOUNT","CONS-AMOUNT",$A$1:$A$4,$A71:$B71,AI$5:AI$10,"#")</f>
        <v>#NAME?</v>
      </c>
      <c r="AJ71" s="51"/>
      <c r="AK71" s="69" t="e">
        <f ca="1">_xll.GetCtData("CO-AMOUNT","CONS-AMOUNT",$A$1:$A$4,$A71:$B71,AK$5:AK$10,"#")</f>
        <v>#NAME?</v>
      </c>
      <c r="AL71" s="51"/>
      <c r="AM71" s="90" t="e">
        <f t="shared" ca="1" si="29"/>
        <v>#NAME?</v>
      </c>
      <c r="AN71" s="53"/>
      <c r="AO71" s="67" t="e">
        <f ca="1">_xll.GetCtData("CO-AMOUNT","CONS-AMOUNT",$A$1:$A$4,$A71:$B71,AO$5:AO$10,"#")</f>
        <v>#NAME?</v>
      </c>
      <c r="AP71" s="51"/>
      <c r="AQ71" s="69" t="e">
        <f ca="1">_xll.GetCtData("CO-AMOUNT","CONS-AMOUNT",$A$1:$A$4,$A71:$B71,AQ$5:AQ$10,"#")</f>
        <v>#NAME?</v>
      </c>
      <c r="AR71" s="51"/>
      <c r="AS71" s="90" t="e">
        <f t="shared" ca="1" si="30"/>
        <v>#NAME?</v>
      </c>
      <c r="AT71" s="53"/>
      <c r="AU71" s="67" t="e">
        <f t="shared" ca="1" si="24"/>
        <v>#NAME?</v>
      </c>
      <c r="AV71" s="51"/>
      <c r="AW71" s="69" t="e">
        <f t="shared" ca="1" si="25"/>
        <v>#NAME?</v>
      </c>
      <c r="AX71" s="51"/>
      <c r="AY71" s="90" t="e">
        <f t="shared" ca="1" si="31"/>
        <v>#NAME?</v>
      </c>
      <c r="BA71" s="67" t="e">
        <f t="shared" ca="1" si="32"/>
        <v>#NAME?</v>
      </c>
      <c r="BB71" s="51"/>
      <c r="BC71" s="69" t="e">
        <f t="shared" ca="1" si="33"/>
        <v>#NAME?</v>
      </c>
      <c r="BD71" s="51"/>
      <c r="BE71" s="90" t="e">
        <f t="shared" ca="1" si="26"/>
        <v>#NAME?</v>
      </c>
      <c r="BG71" s="67" t="e">
        <f ca="1">_xll.GetCtData("CO-AMOUNT","CONS-AMOUNT",$A$1:$A$4,$A71:$B71,BG$5:BG$10,"#")</f>
        <v>#NAME?</v>
      </c>
      <c r="BH71" s="51"/>
      <c r="BI71" s="69" t="e">
        <f ca="1">_xll.GetCtData("CO-AMOUNT","CONS-AMOUNT",$A$1:$A$4,$A71:$B71,BI$5:BI$10,"#")</f>
        <v>#NAME?</v>
      </c>
      <c r="BJ71" s="51"/>
      <c r="BK71" s="90" t="e">
        <f t="shared" ca="1" si="34"/>
        <v>#NAME?</v>
      </c>
      <c r="BL71" s="53"/>
      <c r="BN71" s="67" t="e">
        <f ca="1">_xll.GetCtData("CO-AMOUNT","CONS-AMOUNT",$A$1:$A$4,$A71:$B71,BN$5:BN$10,"#")</f>
        <v>#NAME?</v>
      </c>
      <c r="BO71" s="51"/>
      <c r="BP71" s="69" t="e">
        <f ca="1">_xll.GetCtData("CO-AMOUNT","CONS-AMOUNT",$A$1:$A$4,$A71:$B71,BP$5:BP$10,"#")</f>
        <v>#NAME?</v>
      </c>
      <c r="BQ71" s="51"/>
      <c r="BR71" s="90" t="e">
        <f t="shared" ca="1" si="35"/>
        <v>#NAME?</v>
      </c>
      <c r="BS71" s="53"/>
    </row>
    <row r="72" spans="1:71" s="65" customFormat="1">
      <c r="A72" s="65" t="s">
        <v>342</v>
      </c>
      <c r="B72" s="65" t="s">
        <v>267</v>
      </c>
      <c r="C72" s="65" t="s">
        <v>262</v>
      </c>
      <c r="D72" s="130" t="str">
        <f>CHOOSE([6]Traduction!$A$2,[6]Traduction!$A45,[6]Traduction!$B45)</f>
        <v>o/w France</v>
      </c>
      <c r="E72" s="67" t="e">
        <f ca="1">_xll.GetCtData("CO-AMOUNT","CONS-AMOUNT",$A$1:$A$4,$A72:$B72,E$5:E$10,"#13315,219")</f>
        <v>#NAME?</v>
      </c>
      <c r="F72" s="68"/>
      <c r="G72" s="69" t="e">
        <f ca="1">_xll.GetCtData("CO-AMOUNT","CONS-AMOUNT",$A$1:$A$4,$A72:$B72,G$5:G$10,"#13917,906")</f>
        <v>#NAME?</v>
      </c>
      <c r="H72" s="68"/>
      <c r="I72" s="90" t="e">
        <f t="shared" ca="1" si="12"/>
        <v>#NAME?</v>
      </c>
      <c r="J72" s="71"/>
      <c r="K72" s="67" t="e">
        <f ca="1">_xll.GetCtData("CO-AMOUNT","CONS-AMOUNT",$A$1:$A$4,$A72:$B72,K$5:K$10,"#-11737,948")</f>
        <v>#NAME?</v>
      </c>
      <c r="L72" s="68"/>
      <c r="M72" s="69" t="e">
        <f ca="1">_xll.GetCtData("CO-AMOUNT","CONS-AMOUNT",$A$1:$A$4,$A72:$B72,M$5:M$10,"#-11976,098")</f>
        <v>#NAME?</v>
      </c>
      <c r="N72" s="51"/>
      <c r="O72" s="70" t="e">
        <f t="shared" ca="1" si="13"/>
        <v>#NAME?</v>
      </c>
      <c r="P72" s="53"/>
      <c r="Q72" s="67" t="e">
        <f ca="1">_xll.GetCtData("CO-AMOUNT","CONS-AMOUNT",$A$1:$A$4,$A72:$B72,Q$5:Q$10,"#1623,002")</f>
        <v>#NAME?</v>
      </c>
      <c r="R72" s="51"/>
      <c r="S72" s="69" t="e">
        <f ca="1">_xll.GetCtData("CO-AMOUNT","CONS-AMOUNT",$A$1:$A$4,$A72:$B72,S$5:S$10,"#1841,808")</f>
        <v>#NAME?</v>
      </c>
      <c r="T72" s="51"/>
      <c r="U72" s="70" t="e">
        <f t="shared" ca="1" si="14"/>
        <v>#NAME?</v>
      </c>
      <c r="V72" s="25"/>
      <c r="W72" s="67" t="e">
        <f ca="1">_xll.GetCtData("CO-AMOUNT","CONS-AMOUNT",$A$1:$A$4,$A72:$B72,W$5:W$10,"#")</f>
        <v>#NAME?</v>
      </c>
      <c r="X72" s="51"/>
      <c r="Y72" s="69" t="e">
        <f ca="1">_xll.GetCtData("CO-AMOUNT","CONS-AMOUNT",$A$1:$A$4,$A72:$B72,Y$5:Y$10,"#")</f>
        <v>#NAME?</v>
      </c>
      <c r="Z72" s="51"/>
      <c r="AA72" s="70" t="e">
        <f t="shared" ca="1" si="27"/>
        <v>#NAME?</v>
      </c>
      <c r="AB72" s="53"/>
      <c r="AC72" s="67" t="e">
        <f ca="1">_xll.GetCtData("CO-AMOUNT","CONS-AMOUNT",$A$1:$A$4,$A72:$B72,AC$5:AC$10,"#")</f>
        <v>#NAME?</v>
      </c>
      <c r="AD72" s="51"/>
      <c r="AE72" s="69" t="e">
        <f ca="1">_xll.GetCtData("CO-AMOUNT","CONS-AMOUNT",$A$1:$A$4,$A72:$B72,AE$5:AE$10,"#")</f>
        <v>#NAME?</v>
      </c>
      <c r="AF72" s="51"/>
      <c r="AG72" s="70" t="e">
        <f t="shared" ca="1" si="28"/>
        <v>#NAME?</v>
      </c>
      <c r="AH72" s="53"/>
      <c r="AI72" s="67" t="e">
        <f ca="1">_xll.GetCtData("CO-AMOUNT","CONS-AMOUNT",$A$1:$A$4,$A72:$B72,AI$5:AI$10,"#")</f>
        <v>#NAME?</v>
      </c>
      <c r="AJ72" s="51"/>
      <c r="AK72" s="69" t="e">
        <f ca="1">_xll.GetCtData("CO-AMOUNT","CONS-AMOUNT",$A$1:$A$4,$A72:$B72,AK$5:AK$10,"#")</f>
        <v>#NAME?</v>
      </c>
      <c r="AL72" s="51"/>
      <c r="AM72" s="70" t="e">
        <f t="shared" ca="1" si="29"/>
        <v>#NAME?</v>
      </c>
      <c r="AN72" s="53"/>
      <c r="AO72" s="67" t="e">
        <f ca="1">_xll.GetCtData("CO-AMOUNT","CONS-AMOUNT",$A$1:$A$4,$A72:$B72,AO$5:AO$10,"#-2542,589")</f>
        <v>#NAME?</v>
      </c>
      <c r="AP72" s="51"/>
      <c r="AQ72" s="69" t="e">
        <f ca="1">_xll.GetCtData("CO-AMOUNT","CONS-AMOUNT",$A$1:$A$4,$A72:$B72,AQ$5:AQ$10,"#-2543,758")</f>
        <v>#NAME?</v>
      </c>
      <c r="AR72" s="51"/>
      <c r="AS72" s="70" t="e">
        <f t="shared" ca="1" si="30"/>
        <v>#NAME?</v>
      </c>
      <c r="AT72" s="53"/>
      <c r="AU72" s="67" t="e">
        <f t="shared" ca="1" si="24"/>
        <v>#NAME?</v>
      </c>
      <c r="AV72" s="51"/>
      <c r="AW72" s="69" t="e">
        <f t="shared" ca="1" si="25"/>
        <v>#NAME?</v>
      </c>
      <c r="AX72" s="51"/>
      <c r="AY72" s="70" t="e">
        <f t="shared" ca="1" si="31"/>
        <v>#NAME?</v>
      </c>
      <c r="BA72" s="67" t="e">
        <f t="shared" ca="1" si="32"/>
        <v>#NAME?</v>
      </c>
      <c r="BB72" s="51"/>
      <c r="BC72" s="69" t="e">
        <f t="shared" ca="1" si="33"/>
        <v>#NAME?</v>
      </c>
      <c r="BD72" s="51"/>
      <c r="BE72" s="70" t="e">
        <f t="shared" ca="1" si="26"/>
        <v>#NAME?</v>
      </c>
      <c r="BG72" s="67" t="e">
        <f ca="1">_xll.GetCtData("CO-AMOUNT","CONS-AMOUNT",$A$1:$A$4,$A72:$B72,BG$5:BG$10,"#-2423,781")</f>
        <v>#NAME?</v>
      </c>
      <c r="BH72" s="51"/>
      <c r="BI72" s="69" t="e">
        <f ca="1">_xll.GetCtData("CO-AMOUNT","CONS-AMOUNT",$A$1:$A$4,$A72:$B72,BI$5:BI$10,"#-2423,781")</f>
        <v>#NAME?</v>
      </c>
      <c r="BJ72" s="51"/>
      <c r="BK72" s="70" t="e">
        <f t="shared" ca="1" si="34"/>
        <v>#NAME?</v>
      </c>
      <c r="BL72" s="53"/>
      <c r="BN72" s="67" t="e">
        <f ca="1">_xll.GetCtData("CO-AMOUNT","CONS-AMOUNT",$A$1:$A$4,$A72:$B72,BN$5:BN$10,"#-118,808")</f>
        <v>#NAME?</v>
      </c>
      <c r="BO72" s="51"/>
      <c r="BP72" s="69" t="e">
        <f ca="1">_xll.GetCtData("CO-AMOUNT","CONS-AMOUNT",$A$1:$A$4,$A72:$B72,BP$5:BP$10,"#-119,977")</f>
        <v>#NAME?</v>
      </c>
      <c r="BQ72" s="51"/>
      <c r="BR72" s="70" t="e">
        <f t="shared" ca="1" si="35"/>
        <v>#NAME?</v>
      </c>
      <c r="BS72" s="53"/>
    </row>
    <row r="73" spans="1:71" s="65" customFormat="1">
      <c r="A73" s="65" t="s">
        <v>340</v>
      </c>
      <c r="B73" s="65" t="s">
        <v>343</v>
      </c>
      <c r="C73" s="65" t="s">
        <v>283</v>
      </c>
      <c r="D73" s="130" t="str">
        <f>CHOOSE([6]Traduction!$A$2,[6]Traduction!$A49,[6]Traduction!$B49)</f>
        <v>o/w Germany</v>
      </c>
      <c r="E73" s="67" t="e">
        <f ca="1">_xll.GetCtData("CO-AMOUNT","CONS-AMOUNT",$A$1:$A$4,$A73:$B73,E$5:E$10,"#4242,655")</f>
        <v>#NAME?</v>
      </c>
      <c r="F73" s="68"/>
      <c r="G73" s="69" t="e">
        <f ca="1">_xll.GetCtData("CO-AMOUNT","CONS-AMOUNT",$A$1:$A$4,$A73:$B73,G$5:G$10,"#3889,312")</f>
        <v>#NAME?</v>
      </c>
      <c r="H73" s="68"/>
      <c r="I73" s="70" t="e">
        <f t="shared" ca="1" si="12"/>
        <v>#NAME?</v>
      </c>
      <c r="J73" s="71"/>
      <c r="K73" s="67" t="e">
        <f ca="1">_xll.GetCtData("CO-AMOUNT","CONS-AMOUNT",$A$1:$A$4,$A73:$B73,K$5:K$10,"#-5205,301")</f>
        <v>#NAME?</v>
      </c>
      <c r="L73" s="68"/>
      <c r="M73" s="69" t="e">
        <f ca="1">_xll.GetCtData("CO-AMOUNT","CONS-AMOUNT",$A$1:$A$4,$A73:$B73,M$5:M$10,"#-5280,153")</f>
        <v>#NAME?</v>
      </c>
      <c r="N73" s="51"/>
      <c r="O73" s="70" t="e">
        <f t="shared" ca="1" si="13"/>
        <v>#NAME?</v>
      </c>
      <c r="P73" s="53"/>
      <c r="Q73" s="67" t="e">
        <f ca="1">_xll.GetCtData("CO-AMOUNT","CONS-AMOUNT",$A$1:$A$4,$A73:$B73,Q$5:Q$10,"#-972,2")</f>
        <v>#NAME?</v>
      </c>
      <c r="R73" s="51"/>
      <c r="S73" s="69" t="e">
        <f ca="1">_xll.GetCtData("CO-AMOUNT","CONS-AMOUNT",$A$1:$A$4,$A73:$B73,S$5:S$10,"#-1390,97")</f>
        <v>#NAME?</v>
      </c>
      <c r="T73" s="51"/>
      <c r="U73" s="70" t="e">
        <f t="shared" ca="1" si="14"/>
        <v>#NAME?</v>
      </c>
      <c r="V73" s="25"/>
      <c r="W73" s="67" t="e">
        <f ca="1">_xll.GetCtData("CO-AMOUNT","CONS-AMOUNT",$A$1:$A$4,$A73:$B73,W$5:W$10,"#")</f>
        <v>#NAME?</v>
      </c>
      <c r="X73" s="51"/>
      <c r="Y73" s="69" t="e">
        <f ca="1">_xll.GetCtData("CO-AMOUNT","CONS-AMOUNT",$A$1:$A$4,$A73:$B73,Y$5:Y$10,"#")</f>
        <v>#NAME?</v>
      </c>
      <c r="Z73" s="51"/>
      <c r="AA73" s="70" t="e">
        <f t="shared" ca="1" si="27"/>
        <v>#NAME?</v>
      </c>
      <c r="AB73" s="53"/>
      <c r="AC73" s="67" t="e">
        <f ca="1">_xll.GetCtData("CO-AMOUNT","CONS-AMOUNT",$A$1:$A$4,$A73:$B73,AC$5:AC$10,"#")</f>
        <v>#NAME?</v>
      </c>
      <c r="AD73" s="51"/>
      <c r="AE73" s="69" t="e">
        <f ca="1">_xll.GetCtData("CO-AMOUNT","CONS-AMOUNT",$A$1:$A$4,$A73:$B73,AE$5:AE$10,"#")</f>
        <v>#NAME?</v>
      </c>
      <c r="AF73" s="51"/>
      <c r="AG73" s="70" t="e">
        <f t="shared" ca="1" si="28"/>
        <v>#NAME?</v>
      </c>
      <c r="AH73" s="53"/>
      <c r="AI73" s="67" t="e">
        <f ca="1">_xll.GetCtData("CO-AMOUNT","CONS-AMOUNT",$A$1:$A$4,$A73:$B73,AI$5:AI$10,"#")</f>
        <v>#NAME?</v>
      </c>
      <c r="AJ73" s="51"/>
      <c r="AK73" s="69" t="e">
        <f ca="1">_xll.GetCtData("CO-AMOUNT","CONS-AMOUNT",$A$1:$A$4,$A73:$B73,AK$5:AK$10,"#")</f>
        <v>#NAME?</v>
      </c>
      <c r="AL73" s="51"/>
      <c r="AM73" s="70" t="e">
        <f t="shared" ca="1" si="29"/>
        <v>#NAME?</v>
      </c>
      <c r="AN73" s="53"/>
      <c r="AO73" s="67" t="e">
        <f ca="1">_xll.GetCtData("CO-AMOUNT","CONS-AMOUNT",$A$1:$A$4,$A73:$B73,AO$5:AO$10,"#-222,344")</f>
        <v>#NAME?</v>
      </c>
      <c r="AP73" s="51"/>
      <c r="AQ73" s="69" t="e">
        <f ca="1">_xll.GetCtData("CO-AMOUNT","CONS-AMOUNT",$A$1:$A$4,$A73:$B73,AQ$5:AQ$10,"#-222,475")</f>
        <v>#NAME?</v>
      </c>
      <c r="AR73" s="51"/>
      <c r="AS73" s="70" t="e">
        <f t="shared" ca="1" si="30"/>
        <v>#NAME?</v>
      </c>
      <c r="AT73" s="53"/>
      <c r="AU73" s="67" t="e">
        <f t="shared" ca="1" si="24"/>
        <v>#NAME?</v>
      </c>
      <c r="AV73" s="51"/>
      <c r="AW73" s="69" t="e">
        <f t="shared" ca="1" si="25"/>
        <v>#NAME?</v>
      </c>
      <c r="AX73" s="51"/>
      <c r="AY73" s="70" t="e">
        <f t="shared" ca="1" si="31"/>
        <v>#NAME?</v>
      </c>
      <c r="BA73" s="67" t="e">
        <f t="shared" ca="1" si="32"/>
        <v>#NAME?</v>
      </c>
      <c r="BB73" s="51"/>
      <c r="BC73" s="69" t="e">
        <f t="shared" ca="1" si="33"/>
        <v>#NAME?</v>
      </c>
      <c r="BD73" s="51"/>
      <c r="BE73" s="70" t="e">
        <f t="shared" ca="1" si="26"/>
        <v>#NAME?</v>
      </c>
      <c r="BG73" s="67" t="e">
        <f ca="1">_xll.GetCtData("CO-AMOUNT","CONS-AMOUNT",$A$1:$A$4,$A73:$B73,BG$5:BG$10,"#-166,142")</f>
        <v>#NAME?</v>
      </c>
      <c r="BH73" s="51"/>
      <c r="BI73" s="69" t="e">
        <f ca="1">_xll.GetCtData("CO-AMOUNT","CONS-AMOUNT",$A$1:$A$4,$A73:$B73,BI$5:BI$10,"#-166,143")</f>
        <v>#NAME?</v>
      </c>
      <c r="BJ73" s="51"/>
      <c r="BK73" s="70" t="e">
        <f t="shared" ca="1" si="34"/>
        <v>#NAME?</v>
      </c>
      <c r="BL73" s="53"/>
      <c r="BN73" s="67" t="e">
        <f ca="1">_xll.GetCtData("CO-AMOUNT","CONS-AMOUNT",$A$1:$A$4,$A73:$B73,BN$5:BN$10,"#-56,202")</f>
        <v>#NAME?</v>
      </c>
      <c r="BO73" s="51"/>
      <c r="BP73" s="69" t="e">
        <f ca="1">_xll.GetCtData("CO-AMOUNT","CONS-AMOUNT",$A$1:$A$4,$A73:$B73,BP$5:BP$10,"#-56,332")</f>
        <v>#NAME?</v>
      </c>
      <c r="BQ73" s="51"/>
      <c r="BR73" s="70" t="e">
        <f t="shared" ca="1" si="35"/>
        <v>#NAME?</v>
      </c>
      <c r="BS73" s="53"/>
    </row>
    <row r="74" spans="1:71" s="65" customFormat="1">
      <c r="A74" s="65" t="s">
        <v>344</v>
      </c>
      <c r="B74" s="65" t="s">
        <v>317</v>
      </c>
      <c r="C74" s="65" t="s">
        <v>103</v>
      </c>
      <c r="D74" s="130" t="str">
        <f>CHOOSE([6]Traduction!$A$2,[6]Traduction!$A52,[6]Traduction!$B52)</f>
        <v>o/w UK</v>
      </c>
      <c r="E74" s="67" t="e">
        <f ca="1">_xll.GetCtData("CO-AMOUNT","CONS-AMOUNT",$A$1:$A$4,$A74:$B74,E$5:E$10,"#11175,8934524405")</f>
        <v>#NAME?</v>
      </c>
      <c r="F74" s="68"/>
      <c r="G74" s="69" t="e">
        <f ca="1">_xll.GetCtData("CO-AMOUNT","CONS-AMOUNT",$A$1:$A$4,$A74:$B74,G$5:G$10,"#10897,0468629567")</f>
        <v>#NAME?</v>
      </c>
      <c r="H74" s="68"/>
      <c r="I74" s="70" t="e">
        <f t="shared" ca="1" si="12"/>
        <v>#NAME?</v>
      </c>
      <c r="J74" s="71"/>
      <c r="K74" s="67" t="e">
        <f ca="1">_xll.GetCtData("CO-AMOUNT","CONS-AMOUNT",$A$1:$A$4,$A74:$B74,K$5:K$10,"#-10427,9395046785")</f>
        <v>#NAME?</v>
      </c>
      <c r="L74" s="68"/>
      <c r="M74" s="69" t="e">
        <f ca="1">_xll.GetCtData("CO-AMOUNT","CONS-AMOUNT",$A$1:$A$4,$A74:$B74,M$5:M$10,"#-10642,0361559061")</f>
        <v>#NAME?</v>
      </c>
      <c r="N74" s="51"/>
      <c r="O74" s="70" t="e">
        <f t="shared" ca="1" si="13"/>
        <v>#NAME?</v>
      </c>
      <c r="P74" s="53"/>
      <c r="Q74" s="67" t="e">
        <f ca="1">_xll.GetCtData("CO-AMOUNT","CONS-AMOUNT",$A$1:$A$4,$A74:$B74,Q$5:Q$10,"#649,274009260109")</f>
        <v>#NAME?</v>
      </c>
      <c r="R74" s="51"/>
      <c r="S74" s="69" t="e">
        <f ca="1">_xll.GetCtData("CO-AMOUNT","CONS-AMOUNT",$A$1:$A$4,$A74:$B74,S$5:S$10,"#252,581660170337")</f>
        <v>#NAME?</v>
      </c>
      <c r="T74" s="51"/>
      <c r="U74" s="70" t="e">
        <f t="shared" ca="1" si="14"/>
        <v>#NAME?</v>
      </c>
      <c r="V74" s="25"/>
      <c r="W74" s="67" t="e">
        <f ca="1">_xll.GetCtData("CO-AMOUNT","CONS-AMOUNT",$A$1:$A$4,$A74:$B74,W$5:W$10,"#")</f>
        <v>#NAME?</v>
      </c>
      <c r="X74" s="51"/>
      <c r="Y74" s="69" t="e">
        <f ca="1">_xll.GetCtData("CO-AMOUNT","CONS-AMOUNT",$A$1:$A$4,$A74:$B74,Y$5:Y$10,"#")</f>
        <v>#NAME?</v>
      </c>
      <c r="Z74" s="51"/>
      <c r="AA74" s="70" t="e">
        <f t="shared" ca="1" si="27"/>
        <v>#NAME?</v>
      </c>
      <c r="AB74" s="53"/>
      <c r="AC74" s="67" t="e">
        <f ca="1">_xll.GetCtData("CO-AMOUNT","CONS-AMOUNT",$A$1:$A$4,$A74:$B74,AC$5:AC$10,"#")</f>
        <v>#NAME?</v>
      </c>
      <c r="AD74" s="51"/>
      <c r="AE74" s="69" t="e">
        <f ca="1">_xll.GetCtData("CO-AMOUNT","CONS-AMOUNT",$A$1:$A$4,$A74:$B74,AE$5:AE$10,"#")</f>
        <v>#NAME?</v>
      </c>
      <c r="AF74" s="51"/>
      <c r="AG74" s="70" t="e">
        <f t="shared" ca="1" si="28"/>
        <v>#NAME?</v>
      </c>
      <c r="AH74" s="53"/>
      <c r="AI74" s="67" t="e">
        <f ca="1">_xll.GetCtData("CO-AMOUNT","CONS-AMOUNT",$A$1:$A$4,$A74:$B74,AI$5:AI$10,"#")</f>
        <v>#NAME?</v>
      </c>
      <c r="AJ74" s="51"/>
      <c r="AK74" s="69" t="e">
        <f ca="1">_xll.GetCtData("CO-AMOUNT","CONS-AMOUNT",$A$1:$A$4,$A74:$B74,AK$5:AK$10,"#")</f>
        <v>#NAME?</v>
      </c>
      <c r="AL74" s="51"/>
      <c r="AM74" s="70" t="e">
        <f t="shared" ca="1" si="29"/>
        <v>#NAME?</v>
      </c>
      <c r="AN74" s="53"/>
      <c r="AO74" s="67" t="e">
        <f ca="1">_xll.GetCtData("CO-AMOUNT","CONS-AMOUNT",$A$1:$A$4,$A74:$B74,AO$5:AO$10,"#-589,495277082831")</f>
        <v>#NAME?</v>
      </c>
      <c r="AP74" s="51"/>
      <c r="AQ74" s="69" t="e">
        <f ca="1">_xll.GetCtData("CO-AMOUNT","CONS-AMOUNT",$A$1:$A$4,$A74:$B74,AQ$5:AQ$10,"#-690,784716201276")</f>
        <v>#NAME?</v>
      </c>
      <c r="AR74" s="51"/>
      <c r="AS74" s="70" t="e">
        <f t="shared" ca="1" si="30"/>
        <v>#NAME?</v>
      </c>
      <c r="AT74" s="53"/>
      <c r="AU74" s="67" t="e">
        <f t="shared" ca="1" si="24"/>
        <v>#NAME?</v>
      </c>
      <c r="AV74" s="51"/>
      <c r="AW74" s="69" t="e">
        <f t="shared" ca="1" si="25"/>
        <v>#NAME?</v>
      </c>
      <c r="AX74" s="51"/>
      <c r="AY74" s="70" t="e">
        <f t="shared" ca="1" si="31"/>
        <v>#NAME?</v>
      </c>
      <c r="BA74" s="67" t="e">
        <f t="shared" ca="1" si="32"/>
        <v>#NAME?</v>
      </c>
      <c r="BB74" s="51"/>
      <c r="BC74" s="69" t="e">
        <f t="shared" ca="1" si="33"/>
        <v>#NAME?</v>
      </c>
      <c r="BD74" s="51"/>
      <c r="BE74" s="70" t="e">
        <f t="shared" ca="1" si="26"/>
        <v>#NAME?</v>
      </c>
      <c r="BG74" s="67" t="e">
        <f ca="1">_xll.GetCtData("CO-AMOUNT","CONS-AMOUNT",$A$1:$A$4,$A74:$B74,BG$5:BG$10,"#-413,70392965595")</f>
        <v>#NAME?</v>
      </c>
      <c r="BH74" s="51"/>
      <c r="BI74" s="69" t="e">
        <f ca="1">_xll.GetCtData("CO-AMOUNT","CONS-AMOUNT",$A$1:$A$4,$A74:$B74,BI$5:BI$10,"#-511,269385955276")</f>
        <v>#NAME?</v>
      </c>
      <c r="BJ74" s="51"/>
      <c r="BK74" s="70" t="e">
        <f t="shared" ca="1" si="34"/>
        <v>#NAME?</v>
      </c>
      <c r="BL74" s="53"/>
      <c r="BN74" s="67" t="e">
        <f ca="1">_xll.GetCtData("CO-AMOUNT","CONS-AMOUNT",$A$1:$A$4,$A74:$B74,BN$5:BN$10,"#-175,791347426881")</f>
        <v>#NAME?</v>
      </c>
      <c r="BO74" s="51"/>
      <c r="BP74" s="69" t="e">
        <f ca="1">_xll.GetCtData("CO-AMOUNT","CONS-AMOUNT",$A$1:$A$4,$A74:$B74,BP$5:BP$10,"#-179,515330245999")</f>
        <v>#NAME?</v>
      </c>
      <c r="BQ74" s="51"/>
      <c r="BR74" s="70" t="e">
        <f t="shared" ca="1" si="35"/>
        <v>#NAME?</v>
      </c>
      <c r="BS74" s="53"/>
    </row>
    <row r="75" spans="1:71" s="75" customFormat="1" ht="14.4" outlineLevel="1">
      <c r="A75" s="65" t="s">
        <v>344</v>
      </c>
      <c r="B75" s="65" t="s">
        <v>317</v>
      </c>
      <c r="C75" s="75" t="s">
        <v>287</v>
      </c>
      <c r="D75" s="138" t="s">
        <v>288</v>
      </c>
      <c r="E75" s="77" t="e">
        <f ca="1">_xll.GetCtData("CO-AMOUNT","AMOUNT",$A$1:$A$4,$A75:$B75,E$5:E$10,"#9704,052")</f>
        <v>#NAME?</v>
      </c>
      <c r="F75" s="78"/>
      <c r="G75" s="79" t="e">
        <f ca="1">_xll.GetCtData("CO-AMOUNT","AMOUNT",$A$1:$A$4,$A75:$B75,G$5:G$10,"#9447,813")</f>
        <v>#NAME?</v>
      </c>
      <c r="H75" s="78"/>
      <c r="I75" s="80" t="e">
        <f t="shared" ca="1" si="12"/>
        <v>#NAME?</v>
      </c>
      <c r="J75" s="81"/>
      <c r="K75" s="77" t="e">
        <f ca="1">_xll.GetCtData("CO-AMOUNT","AMOUNT",$A$1:$A$4,$A75:$B75,K$5:K$10,"#-9054,602")</f>
        <v>#NAME?</v>
      </c>
      <c r="L75" s="78"/>
      <c r="M75" s="79" t="e">
        <f ca="1">_xll.GetCtData("CO-AMOUNT","AMOUNT",$A$1:$A$4,$A75:$B75,M$5:M$10,"#-9226,717")</f>
        <v>#NAME?</v>
      </c>
      <c r="N75" s="82"/>
      <c r="O75" s="70" t="e">
        <f t="shared" ca="1" si="13"/>
        <v>#NAME?</v>
      </c>
      <c r="P75" s="83"/>
      <c r="Q75" s="77" t="e">
        <f ca="1">_xll.GetCtData("CO-AMOUNT","AMOUNT",$A$1:$A$4,$A75:$B75,Q$5:Q$10,"#563,766000000001")</f>
        <v>#NAME?</v>
      </c>
      <c r="R75" s="82"/>
      <c r="S75" s="79" t="e">
        <f ca="1">_xll.GetCtData("CO-AMOUNT","AMOUNT",$A$1:$A$4,$A75:$B75,S$5:S$10,"#218,990000000002")</f>
        <v>#NAME?</v>
      </c>
      <c r="T75" s="82"/>
      <c r="U75" s="96" t="e">
        <f t="shared" ca="1" si="14"/>
        <v>#NAME?</v>
      </c>
      <c r="V75" s="25"/>
      <c r="W75" s="77" t="e">
        <f ca="1">_xll.GetCtData("CO-AMOUNT","AMOUNT",$A$1:$A$4,$A75:$B75,W$5:W$10,"#")</f>
        <v>#NAME?</v>
      </c>
      <c r="X75" s="82"/>
      <c r="Y75" s="79" t="e">
        <f ca="1">_xll.GetCtData("CO-AMOUNT","AMOUNT",$A$1:$A$4,$A75:$B75,Y$5:Y$10,"#")</f>
        <v>#NAME?</v>
      </c>
      <c r="Z75" s="82"/>
      <c r="AA75" s="96" t="e">
        <f t="shared" ca="1" si="27"/>
        <v>#NAME?</v>
      </c>
      <c r="AB75" s="83"/>
      <c r="AC75" s="77" t="e">
        <f ca="1">_xll.GetCtData("CO-AMOUNT","AMOUNT",$A$1:$A$4,$A75:$B75,AC$5:AC$10,"#")</f>
        <v>#NAME?</v>
      </c>
      <c r="AD75" s="82"/>
      <c r="AE75" s="79" t="e">
        <f ca="1">_xll.GetCtData("CO-AMOUNT","AMOUNT",$A$1:$A$4,$A75:$B75,AE$5:AE$10,"#")</f>
        <v>#NAME?</v>
      </c>
      <c r="AF75" s="82"/>
      <c r="AG75" s="96" t="e">
        <f t="shared" ca="1" si="28"/>
        <v>#NAME?</v>
      </c>
      <c r="AH75" s="83"/>
      <c r="AI75" s="77" t="e">
        <f ca="1">_xll.GetCtData("CO-AMOUNT","AMOUNT",$A$1:$A$4,$A75:$B75,AI$5:AI$10,"#")</f>
        <v>#NAME?</v>
      </c>
      <c r="AJ75" s="82"/>
      <c r="AK75" s="79" t="e">
        <f ca="1">_xll.GetCtData("CO-AMOUNT","AMOUNT",$A$1:$A$4,$A75:$B75,AK$5:AK$10,"#")</f>
        <v>#NAME?</v>
      </c>
      <c r="AL75" s="82"/>
      <c r="AM75" s="96" t="e">
        <f t="shared" ca="1" si="29"/>
        <v>#NAME?</v>
      </c>
      <c r="AN75" s="83"/>
      <c r="AO75" s="77" t="e">
        <f ca="1">_xll.GetCtData("CO-AMOUNT","AMOUNT",$A$1:$A$4,$A75:$B75,AO$5:AO$10,"#-511,86")</f>
        <v>#NAME?</v>
      </c>
      <c r="AP75" s="82"/>
      <c r="AQ75" s="79" t="e">
        <f ca="1">_xll.GetCtData("CO-AMOUNT","AMOUNT",$A$1:$A$4,$A75:$B75,AQ$5:AQ$10,"#-598,915")</f>
        <v>#NAME?</v>
      </c>
      <c r="AR75" s="82"/>
      <c r="AS75" s="96" t="e">
        <f t="shared" ca="1" si="30"/>
        <v>#NAME?</v>
      </c>
      <c r="AT75" s="83"/>
      <c r="AU75" s="77" t="e">
        <f t="shared" ca="1" si="24"/>
        <v>#NAME?</v>
      </c>
      <c r="AV75" s="82"/>
      <c r="AW75" s="79" t="e">
        <f t="shared" ca="1" si="25"/>
        <v>#NAME?</v>
      </c>
      <c r="AX75" s="82"/>
      <c r="AY75" s="96" t="e">
        <f t="shared" ca="1" si="31"/>
        <v>#NAME?</v>
      </c>
      <c r="BA75" s="77" t="e">
        <f t="shared" ca="1" si="32"/>
        <v>#NAME?</v>
      </c>
      <c r="BB75" s="82"/>
      <c r="BC75" s="79" t="e">
        <f t="shared" ca="1" si="33"/>
        <v>#NAME?</v>
      </c>
      <c r="BD75" s="82"/>
      <c r="BE75" s="96" t="e">
        <f t="shared" ca="1" si="26"/>
        <v>#NAME?</v>
      </c>
      <c r="BG75" s="77" t="e">
        <f ca="1">_xll.GetCtData("CO-AMOUNT","AMOUNT",$A$1:$A$4,$A75:$B75,BG$5:BG$10,"#-359,22")</f>
        <v>#NAME?</v>
      </c>
      <c r="BH75" s="82"/>
      <c r="BI75" s="79" t="e">
        <f ca="1">_xll.GetCtData("CO-AMOUNT","AMOUNT",$A$1:$A$4,$A75:$B75,BI$5:BI$10,"#-443,274")</f>
        <v>#NAME?</v>
      </c>
      <c r="BJ75" s="82"/>
      <c r="BK75" s="96" t="e">
        <f t="shared" ca="1" si="34"/>
        <v>#NAME?</v>
      </c>
      <c r="BL75" s="83"/>
      <c r="BN75" s="77" t="e">
        <f ca="1">_xll.GetCtData("CO-AMOUNT","AMOUNT",$A$1:$A$4,$A75:$B75,BN$5:BN$10,"#-152,64")</f>
        <v>#NAME?</v>
      </c>
      <c r="BO75" s="82"/>
      <c r="BP75" s="79" t="e">
        <f ca="1">_xll.GetCtData("CO-AMOUNT","AMOUNT",$A$1:$A$4,$A75:$B75,BP$5:BP$10,"#-155,641")</f>
        <v>#NAME?</v>
      </c>
      <c r="BQ75" s="82"/>
      <c r="BR75" s="96" t="e">
        <f t="shared" ca="1" si="35"/>
        <v>#NAME?</v>
      </c>
      <c r="BS75" s="83"/>
    </row>
    <row r="76" spans="1:71" s="65" customFormat="1">
      <c r="A76" s="65" t="s">
        <v>340</v>
      </c>
      <c r="B76" s="65" t="s">
        <v>277</v>
      </c>
      <c r="C76" s="65" t="s">
        <v>278</v>
      </c>
      <c r="D76" s="130" t="str">
        <f>CHOOSE([6]Traduction!$A$2,[6]Traduction!$A46,[6]Traduction!$B46)</f>
        <v>o/w Italy</v>
      </c>
      <c r="E76" s="67" t="e">
        <f ca="1">_xll.GetCtData("CO-AMOUNT","CONS-AMOUNT",$A$1:$A$4,$A76:$B76,E$5:E$10,"#1792,964")</f>
        <v>#NAME?</v>
      </c>
      <c r="F76" s="68"/>
      <c r="G76" s="69" t="e">
        <f ca="1">_xll.GetCtData("CO-AMOUNT","CONS-AMOUNT",$A$1:$A$4,$A76:$B76,G$5:G$10,"#1800,925")</f>
        <v>#NAME?</v>
      </c>
      <c r="H76" s="68"/>
      <c r="I76" s="70" t="e">
        <f t="shared" ca="1" si="12"/>
        <v>#NAME?</v>
      </c>
      <c r="J76" s="71"/>
      <c r="K76" s="67" t="e">
        <f ca="1">_xll.GetCtData("CO-AMOUNT","CONS-AMOUNT",$A$1:$A$4,$A76:$B76,K$5:K$10,"#-2480,737")</f>
        <v>#NAME?</v>
      </c>
      <c r="L76" s="68"/>
      <c r="M76" s="69" t="e">
        <f ca="1">_xll.GetCtData("CO-AMOUNT","CONS-AMOUNT",$A$1:$A$4,$A76:$B76,M$5:M$10,"#-2481,493")</f>
        <v>#NAME?</v>
      </c>
      <c r="N76" s="51"/>
      <c r="O76" s="70" t="e">
        <f t="shared" ca="1" si="13"/>
        <v>#NAME?</v>
      </c>
      <c r="P76" s="53"/>
      <c r="Q76" s="67" t="e">
        <f ca="1">_xll.GetCtData("CO-AMOUNT","CONS-AMOUNT",$A$1:$A$4,$A76:$B76,Q$5:Q$10,"#-689,275")</f>
        <v>#NAME?</v>
      </c>
      <c r="R76" s="51"/>
      <c r="S76" s="69" t="e">
        <f ca="1">_xll.GetCtData("CO-AMOUNT","CONS-AMOUNT",$A$1:$A$4,$A76:$B76,S$5:S$10,"#-680,568")</f>
        <v>#NAME?</v>
      </c>
      <c r="T76" s="51"/>
      <c r="U76" s="70" t="e">
        <f t="shared" ca="1" si="14"/>
        <v>#NAME?</v>
      </c>
      <c r="V76" s="25"/>
      <c r="W76" s="67" t="e">
        <f ca="1">_xll.GetCtData("CO-AMOUNT","CONS-AMOUNT",$A$1:$A$4,$A76:$B76,W$5:W$10,"#")</f>
        <v>#NAME?</v>
      </c>
      <c r="X76" s="51"/>
      <c r="Y76" s="69" t="e">
        <f ca="1">_xll.GetCtData("CO-AMOUNT","CONS-AMOUNT",$A$1:$A$4,$A76:$B76,Y$5:Y$10,"#")</f>
        <v>#NAME?</v>
      </c>
      <c r="Z76" s="51"/>
      <c r="AA76" s="70" t="e">
        <f t="shared" ca="1" si="27"/>
        <v>#NAME?</v>
      </c>
      <c r="AB76" s="53"/>
      <c r="AC76" s="67" t="e">
        <f ca="1">_xll.GetCtData("CO-AMOUNT","CONS-AMOUNT",$A$1:$A$4,$A76:$B76,AC$5:AC$10,"#")</f>
        <v>#NAME?</v>
      </c>
      <c r="AD76" s="51"/>
      <c r="AE76" s="69" t="e">
        <f ca="1">_xll.GetCtData("CO-AMOUNT","CONS-AMOUNT",$A$1:$A$4,$A76:$B76,AE$5:AE$10,"#")</f>
        <v>#NAME?</v>
      </c>
      <c r="AF76" s="51"/>
      <c r="AG76" s="70" t="e">
        <f t="shared" ca="1" si="28"/>
        <v>#NAME?</v>
      </c>
      <c r="AH76" s="53"/>
      <c r="AI76" s="67" t="e">
        <f ca="1">_xll.GetCtData("CO-AMOUNT","CONS-AMOUNT",$A$1:$A$4,$A76:$B76,AI$5:AI$10,"#")</f>
        <v>#NAME?</v>
      </c>
      <c r="AJ76" s="51"/>
      <c r="AK76" s="69" t="e">
        <f ca="1">_xll.GetCtData("CO-AMOUNT","CONS-AMOUNT",$A$1:$A$4,$A76:$B76,AK$5:AK$10,"#")</f>
        <v>#NAME?</v>
      </c>
      <c r="AL76" s="51"/>
      <c r="AM76" s="70" t="e">
        <f t="shared" ca="1" si="29"/>
        <v>#NAME?</v>
      </c>
      <c r="AN76" s="53"/>
      <c r="AO76" s="67" t="e">
        <f ca="1">_xll.GetCtData("CO-AMOUNT","CONS-AMOUNT",$A$1:$A$4,$A76:$B76,AO$5:AO$10,"#-97,946")</f>
        <v>#NAME?</v>
      </c>
      <c r="AP76" s="51"/>
      <c r="AQ76" s="69" t="e">
        <f ca="1">_xll.GetCtData("CO-AMOUNT","CONS-AMOUNT",$A$1:$A$4,$A76:$B76,AQ$5:AQ$10,"#-97,948")</f>
        <v>#NAME?</v>
      </c>
      <c r="AR76" s="51"/>
      <c r="AS76" s="70" t="e">
        <f t="shared" ca="1" si="30"/>
        <v>#NAME?</v>
      </c>
      <c r="AT76" s="53"/>
      <c r="AU76" s="67" t="e">
        <f t="shared" ca="1" si="24"/>
        <v>#NAME?</v>
      </c>
      <c r="AV76" s="51"/>
      <c r="AW76" s="69" t="e">
        <f t="shared" ca="1" si="25"/>
        <v>#NAME?</v>
      </c>
      <c r="AX76" s="51"/>
      <c r="AY76" s="70" t="e">
        <f t="shared" ca="1" si="31"/>
        <v>#NAME?</v>
      </c>
      <c r="BA76" s="67" t="e">
        <f t="shared" ca="1" si="32"/>
        <v>#NAME?</v>
      </c>
      <c r="BB76" s="51"/>
      <c r="BC76" s="69" t="e">
        <f t="shared" ca="1" si="33"/>
        <v>#NAME?</v>
      </c>
      <c r="BD76" s="51"/>
      <c r="BE76" s="70" t="e">
        <f t="shared" ca="1" si="26"/>
        <v>#NAME?</v>
      </c>
      <c r="BG76" s="67" t="e">
        <f ca="1">_xll.GetCtData("CO-AMOUNT","CONS-AMOUNT",$A$1:$A$4,$A76:$B76,BG$5:BG$10,"#-77,733")</f>
        <v>#NAME?</v>
      </c>
      <c r="BH76" s="51"/>
      <c r="BI76" s="69" t="e">
        <f ca="1">_xll.GetCtData("CO-AMOUNT","CONS-AMOUNT",$A$1:$A$4,$A76:$B76,BI$5:BI$10,"#-77,733")</f>
        <v>#NAME?</v>
      </c>
      <c r="BJ76" s="51"/>
      <c r="BK76" s="70" t="e">
        <f t="shared" ca="1" si="34"/>
        <v>#NAME?</v>
      </c>
      <c r="BL76" s="53"/>
      <c r="BN76" s="67" t="e">
        <f ca="1">_xll.GetCtData("CO-AMOUNT","CONS-AMOUNT",$A$1:$A$4,$A76:$B76,BN$5:BN$10,"#-20,213")</f>
        <v>#NAME?</v>
      </c>
      <c r="BO76" s="51"/>
      <c r="BP76" s="69" t="e">
        <f ca="1">_xll.GetCtData("CO-AMOUNT","CONS-AMOUNT",$A$1:$A$4,$A76:$B76,BP$5:BP$10,"#-20,215")</f>
        <v>#NAME?</v>
      </c>
      <c r="BQ76" s="51"/>
      <c r="BR76" s="70" t="e">
        <f t="shared" ca="1" si="35"/>
        <v>#NAME?</v>
      </c>
      <c r="BS76" s="53"/>
    </row>
    <row r="77" spans="1:71" s="65" customFormat="1">
      <c r="A77" s="65" t="s">
        <v>340</v>
      </c>
      <c r="B77" s="65" t="s">
        <v>309</v>
      </c>
      <c r="C77" s="65" t="s">
        <v>310</v>
      </c>
      <c r="D77" s="130" t="str">
        <f>CHOOSE([6]Traduction!$A$2,[6]Traduction!$A66,[6]Traduction!$B66)</f>
        <v>o/w Belgium</v>
      </c>
      <c r="E77" s="67" t="e">
        <f ca="1">_xll.GetCtData("CO-AMOUNT","CONS-AMOUNT",$A$1:$A$4,$A77:$B77,E$5:E$10,"#3470")</f>
        <v>#NAME?</v>
      </c>
      <c r="F77" s="68"/>
      <c r="G77" s="69" t="e">
        <f ca="1">_xll.GetCtData("CO-AMOUNT","CONS-AMOUNT",$A$1:$A$4,$A77:$B77,G$5:G$10,"#3444,916")</f>
        <v>#NAME?</v>
      </c>
      <c r="H77" s="68"/>
      <c r="I77" s="70" t="e">
        <f t="shared" ca="1" si="12"/>
        <v>#NAME?</v>
      </c>
      <c r="J77" s="71"/>
      <c r="K77" s="67" t="e">
        <f ca="1">_xll.GetCtData("CO-AMOUNT","CONS-AMOUNT",$A$1:$A$4,$A77:$B77,K$5:K$10,"#-2700,185")</f>
        <v>#NAME?</v>
      </c>
      <c r="L77" s="68"/>
      <c r="M77" s="69" t="e">
        <f ca="1">_xll.GetCtData("CO-AMOUNT","CONS-AMOUNT",$A$1:$A$4,$A77:$B77,M$5:M$10,"#-2907,01")</f>
        <v>#NAME?</v>
      </c>
      <c r="N77" s="51"/>
      <c r="O77" s="70" t="e">
        <f t="shared" ca="1" si="13"/>
        <v>#NAME?</v>
      </c>
      <c r="P77" s="53"/>
      <c r="Q77" s="67" t="e">
        <f ca="1">_xll.GetCtData("CO-AMOUNT","CONS-AMOUNT",$A$1:$A$4,$A77:$B77,Q$5:Q$10,"#808,815")</f>
        <v>#NAME?</v>
      </c>
      <c r="R77" s="51"/>
      <c r="S77" s="69" t="e">
        <f ca="1">_xll.GetCtData("CO-AMOUNT","CONS-AMOUNT",$A$1:$A$4,$A77:$B77,S$5:S$10,"#537,906")</f>
        <v>#NAME?</v>
      </c>
      <c r="T77" s="51"/>
      <c r="U77" s="70" t="e">
        <f t="shared" ca="1" si="14"/>
        <v>#NAME?</v>
      </c>
      <c r="V77" s="25"/>
      <c r="W77" s="67" t="e">
        <f ca="1">_xll.GetCtData("CO-AMOUNT","CONS-AMOUNT",$A$1:$A$4,$A77:$B77,W$5:W$10,"#")</f>
        <v>#NAME?</v>
      </c>
      <c r="X77" s="51"/>
      <c r="Y77" s="69" t="e">
        <f ca="1">_xll.GetCtData("CO-AMOUNT","CONS-AMOUNT",$A$1:$A$4,$A77:$B77,Y$5:Y$10,"#")</f>
        <v>#NAME?</v>
      </c>
      <c r="Z77" s="51"/>
      <c r="AA77" s="70" t="e">
        <f t="shared" ca="1" si="27"/>
        <v>#NAME?</v>
      </c>
      <c r="AB77" s="53"/>
      <c r="AC77" s="67" t="e">
        <f ca="1">_xll.GetCtData("CO-AMOUNT","CONS-AMOUNT",$A$1:$A$4,$A77:$B77,AC$5:AC$10,"#")</f>
        <v>#NAME?</v>
      </c>
      <c r="AD77" s="51"/>
      <c r="AE77" s="69" t="e">
        <f ca="1">_xll.GetCtData("CO-AMOUNT","CONS-AMOUNT",$A$1:$A$4,$A77:$B77,AE$5:AE$10,"#")</f>
        <v>#NAME?</v>
      </c>
      <c r="AF77" s="51"/>
      <c r="AG77" s="70" t="e">
        <f t="shared" ca="1" si="28"/>
        <v>#NAME?</v>
      </c>
      <c r="AH77" s="53"/>
      <c r="AI77" s="67" t="e">
        <f ca="1">_xll.GetCtData("CO-AMOUNT","CONS-AMOUNT",$A$1:$A$4,$A77:$B77,AI$5:AI$10,"#")</f>
        <v>#NAME?</v>
      </c>
      <c r="AJ77" s="51"/>
      <c r="AK77" s="69" t="e">
        <f ca="1">_xll.GetCtData("CO-AMOUNT","CONS-AMOUNT",$A$1:$A$4,$A77:$B77,AK$5:AK$10,"#")</f>
        <v>#NAME?</v>
      </c>
      <c r="AL77" s="51"/>
      <c r="AM77" s="70" t="e">
        <f t="shared" ca="1" si="29"/>
        <v>#NAME?</v>
      </c>
      <c r="AN77" s="53"/>
      <c r="AO77" s="67" t="e">
        <f ca="1">_xll.GetCtData("CO-AMOUNT","CONS-AMOUNT",$A$1:$A$4,$A77:$B77,AO$5:AO$10,"#-125")</f>
        <v>#NAME?</v>
      </c>
      <c r="AP77" s="51"/>
      <c r="AQ77" s="69" t="e">
        <f ca="1">_xll.GetCtData("CO-AMOUNT","CONS-AMOUNT",$A$1:$A$4,$A77:$B77,AQ$5:AQ$10,"#-120,02")</f>
        <v>#NAME?</v>
      </c>
      <c r="AR77" s="51"/>
      <c r="AS77" s="70" t="e">
        <f t="shared" ca="1" si="30"/>
        <v>#NAME?</v>
      </c>
      <c r="AT77" s="53"/>
      <c r="AU77" s="67" t="e">
        <f t="shared" ca="1" si="24"/>
        <v>#NAME?</v>
      </c>
      <c r="AV77" s="51"/>
      <c r="AW77" s="69" t="e">
        <f t="shared" ca="1" si="25"/>
        <v>#NAME?</v>
      </c>
      <c r="AX77" s="51"/>
      <c r="AY77" s="70" t="e">
        <f t="shared" ca="1" si="31"/>
        <v>#NAME?</v>
      </c>
      <c r="BA77" s="67" t="e">
        <f t="shared" ca="1" si="32"/>
        <v>#NAME?</v>
      </c>
      <c r="BB77" s="51"/>
      <c r="BC77" s="69" t="e">
        <f t="shared" ca="1" si="33"/>
        <v>#NAME?</v>
      </c>
      <c r="BD77" s="51"/>
      <c r="BE77" s="70" t="e">
        <f t="shared" ca="1" si="26"/>
        <v>#NAME?</v>
      </c>
      <c r="BG77" s="67" t="e">
        <f ca="1">_xll.GetCtData("CO-AMOUNT","CONS-AMOUNT",$A$1:$A$4,$A77:$B77,BG$5:BG$10,"#-93")</f>
        <v>#NAME?</v>
      </c>
      <c r="BH77" s="51"/>
      <c r="BI77" s="69" t="e">
        <f ca="1">_xll.GetCtData("CO-AMOUNT","CONS-AMOUNT",$A$1:$A$4,$A77:$B77,BI$5:BI$10,"#-92,44")</f>
        <v>#NAME?</v>
      </c>
      <c r="BJ77" s="51"/>
      <c r="BK77" s="70" t="e">
        <f t="shared" ca="1" si="34"/>
        <v>#NAME?</v>
      </c>
      <c r="BL77" s="53"/>
      <c r="BN77" s="67" t="e">
        <f ca="1">_xll.GetCtData("CO-AMOUNT","CONS-AMOUNT",$A$1:$A$4,$A77:$B77,BN$5:BN$10,"#-32")</f>
        <v>#NAME?</v>
      </c>
      <c r="BO77" s="51"/>
      <c r="BP77" s="69" t="e">
        <f ca="1">_xll.GetCtData("CO-AMOUNT","CONS-AMOUNT",$A$1:$A$4,$A77:$B77,BP$5:BP$10,"#-27,58")</f>
        <v>#NAME?</v>
      </c>
      <c r="BQ77" s="51"/>
      <c r="BR77" s="70" t="e">
        <f t="shared" ca="1" si="35"/>
        <v>#NAME?</v>
      </c>
      <c r="BS77" s="53"/>
    </row>
    <row r="78" spans="1:71" s="65" customFormat="1">
      <c r="A78" s="65" t="s">
        <v>340</v>
      </c>
      <c r="B78" s="65" t="s">
        <v>332</v>
      </c>
      <c r="C78" s="65" t="s">
        <v>333</v>
      </c>
      <c r="D78" s="97" t="str">
        <f>CHOOSE([6]Traduction!$A$2,[6]Traduction!$A76,[6]Traduction!$B76)</f>
        <v>o/w Poland</v>
      </c>
      <c r="E78" s="67" t="e">
        <f ca="1">_xll.GetCtData("CO-AMOUNT","CONS-AMOUNT",$A$1:$A$4,$A78:$B78,E$5:E$10,"#860,147028570612")</f>
        <v>#NAME?</v>
      </c>
      <c r="F78" s="68"/>
      <c r="G78" s="69" t="e">
        <f ca="1">_xll.GetCtData("CO-AMOUNT","CONS-AMOUNT",$A$1:$A$4,$A78:$B78,G$5:G$10,"#902,366947235987")</f>
        <v>#NAME?</v>
      </c>
      <c r="H78" s="68"/>
      <c r="I78" s="70" t="e">
        <f t="shared" ca="1" si="12"/>
        <v>#NAME?</v>
      </c>
      <c r="J78" s="71"/>
      <c r="K78" s="67" t="e">
        <f ca="1">_xll.GetCtData("CO-AMOUNT","CONS-AMOUNT",$A$1:$A$4,$A78:$B78,K$5:K$10,"#-962,449328916511")</f>
        <v>#NAME?</v>
      </c>
      <c r="L78" s="68"/>
      <c r="M78" s="69" t="e">
        <f ca="1">_xll.GetCtData("CO-AMOUNT","CONS-AMOUNT",$A$1:$A$4,$A78:$B78,M$5:M$10,"#-986,198566810051")</f>
        <v>#NAME?</v>
      </c>
      <c r="N78" s="51"/>
      <c r="O78" s="70" t="e">
        <f t="shared" ca="1" si="13"/>
        <v>#NAME?</v>
      </c>
      <c r="P78" s="53"/>
      <c r="Q78" s="67" t="e">
        <f ca="1">_xll.GetCtData("CO-AMOUNT","CONS-AMOUNT",$A$1:$A$4,$A78:$B78,Q$5:Q$10,"#-125,135345628597")</f>
        <v>#NAME?</v>
      </c>
      <c r="R78" s="51"/>
      <c r="S78" s="69" t="e">
        <f ca="1">_xll.GetCtData("CO-AMOUNT","CONS-AMOUNT",$A$1:$A$4,$A78:$B78,S$5:S$10,"#-102,035347377958")</f>
        <v>#NAME?</v>
      </c>
      <c r="T78" s="51"/>
      <c r="U78" s="70" t="e">
        <f t="shared" ca="1" si="14"/>
        <v>#NAME?</v>
      </c>
      <c r="V78" s="25"/>
      <c r="W78" s="67" t="e">
        <f ca="1">_xll.GetCtData("CO-AMOUNT","CONS-AMOUNT",$A$1:$A$4,$A78:$B78,W$5:W$10,"#")</f>
        <v>#NAME?</v>
      </c>
      <c r="X78" s="51"/>
      <c r="Y78" s="69" t="e">
        <f ca="1">_xll.GetCtData("CO-AMOUNT","CONS-AMOUNT",$A$1:$A$4,$A78:$B78,Y$5:Y$10,"#")</f>
        <v>#NAME?</v>
      </c>
      <c r="Z78" s="51"/>
      <c r="AA78" s="70" t="e">
        <f ca="1">W78-Y78</f>
        <v>#NAME?</v>
      </c>
      <c r="AB78" s="53"/>
      <c r="AC78" s="67" t="e">
        <f ca="1">_xll.GetCtData("CO-AMOUNT","CONS-AMOUNT",$A$1:$A$4,$A78:$B78,AC$5:AC$10,"#")</f>
        <v>#NAME?</v>
      </c>
      <c r="AD78" s="51"/>
      <c r="AE78" s="69" t="e">
        <f ca="1">_xll.GetCtData("CO-AMOUNT","CONS-AMOUNT",$A$1:$A$4,$A78:$B78,AE$5:AE$10,"#")</f>
        <v>#NAME?</v>
      </c>
      <c r="AF78" s="51"/>
      <c r="AG78" s="70" t="e">
        <f ca="1">AC78-AE78</f>
        <v>#NAME?</v>
      </c>
      <c r="AH78" s="53"/>
      <c r="AI78" s="67" t="e">
        <f ca="1">_xll.GetCtData("CO-AMOUNT","CONS-AMOUNT",$A$1:$A$4,$A78:$B78,AI$5:AI$10,"#")</f>
        <v>#NAME?</v>
      </c>
      <c r="AJ78" s="51"/>
      <c r="AK78" s="69" t="e">
        <f ca="1">_xll.GetCtData("CO-AMOUNT","CONS-AMOUNT",$A$1:$A$4,$A78:$B78,AK$5:AK$10,"#")</f>
        <v>#NAME?</v>
      </c>
      <c r="AL78" s="51"/>
      <c r="AM78" s="70" t="e">
        <f ca="1">AI78-AK78</f>
        <v>#NAME?</v>
      </c>
      <c r="AN78" s="53"/>
      <c r="AO78" s="67" t="e">
        <f ca="1">_xll.GetCtData("CO-AMOUNT","CONS-AMOUNT",$A$1:$A$4,$A78:$B78,AO$5:AO$10,"#-43,5801197283742")</f>
        <v>#NAME?</v>
      </c>
      <c r="AP78" s="51"/>
      <c r="AQ78" s="69" t="e">
        <f ca="1">_xll.GetCtData("CO-AMOUNT","CONS-AMOUNT",$A$1:$A$4,$A78:$B78,AQ$5:AQ$10,"#-44,1145679912843")</f>
        <v>#NAME?</v>
      </c>
      <c r="AR78" s="51"/>
      <c r="AS78" s="70" t="e">
        <f ca="1">AO78-AQ78</f>
        <v>#NAME?</v>
      </c>
      <c r="AT78" s="53"/>
      <c r="AU78" s="67" t="e">
        <f t="shared" ca="1" si="24"/>
        <v>#NAME?</v>
      </c>
      <c r="AV78" s="51"/>
      <c r="AW78" s="69" t="e">
        <f t="shared" ca="1" si="25"/>
        <v>#NAME?</v>
      </c>
      <c r="AX78" s="51"/>
      <c r="AY78" s="70" t="e">
        <f ca="1">AU78-AW78</f>
        <v>#NAME?</v>
      </c>
      <c r="BA78" s="67" t="e">
        <f t="shared" ca="1" si="32"/>
        <v>#NAME?</v>
      </c>
      <c r="BB78" s="51"/>
      <c r="BC78" s="69" t="e">
        <f t="shared" ca="1" si="33"/>
        <v>#NAME?</v>
      </c>
      <c r="BD78" s="51"/>
      <c r="BE78" s="70" t="e">
        <f t="shared" ca="1" si="26"/>
        <v>#NAME?</v>
      </c>
      <c r="BG78" s="67" t="e">
        <f ca="1">_xll.GetCtData("CO-AMOUNT","CONS-AMOUNT",$A$1:$A$4,$A78:$B78,BG$5:BG$10,"#-34,5332779037469")</f>
        <v>#NAME?</v>
      </c>
      <c r="BH78" s="51"/>
      <c r="BI78" s="69" t="e">
        <f ca="1">_xll.GetCtData("CO-AMOUNT","CONS-AMOUNT",$A$1:$A$4,$A78:$B78,BI$5:BI$10,"#-35,0659008099457")</f>
        <v>#NAME?</v>
      </c>
      <c r="BJ78" s="51"/>
      <c r="BK78" s="70" t="e">
        <f ca="1">BG78-BI78</f>
        <v>#NAME?</v>
      </c>
      <c r="BL78" s="53"/>
      <c r="BN78" s="67" t="e">
        <f ca="1">_xll.GetCtData("CO-AMOUNT","CONS-AMOUNT",$A$1:$A$4,$A78:$B78,BN$5:BN$10,"#-9,04684182462722")</f>
        <v>#NAME?</v>
      </c>
      <c r="BO78" s="51"/>
      <c r="BP78" s="69" t="e">
        <f ca="1">_xll.GetCtData("CO-AMOUNT","CONS-AMOUNT",$A$1:$A$4,$A78:$B78,BP$5:BP$10,"#-9,0486671813386")</f>
        <v>#NAME?</v>
      </c>
      <c r="BQ78" s="51"/>
      <c r="BR78" s="70" t="e">
        <f ca="1">BN78-BP78</f>
        <v>#NAME?</v>
      </c>
      <c r="BS78" s="53"/>
    </row>
    <row r="79" spans="1:71" s="65" customFormat="1">
      <c r="A79" s="65" t="s">
        <v>340</v>
      </c>
      <c r="B79" s="65" t="s">
        <v>334</v>
      </c>
      <c r="C79" s="65" t="s">
        <v>335</v>
      </c>
      <c r="D79" s="97" t="str">
        <f>CHOOSE([6]Traduction!$A$2,[6]Traduction!$A77,[6]Traduction!$B77)</f>
        <v>o/w Netherlands</v>
      </c>
      <c r="E79" s="67" t="e">
        <f ca="1">_xll.GetCtData("CO-AMOUNT","CONS-AMOUNT",$A$1:$A$4,$A79:$B79,E$5:E$10,"#821,46")</f>
        <v>#NAME?</v>
      </c>
      <c r="F79" s="68"/>
      <c r="G79" s="69" t="e">
        <f ca="1">_xll.GetCtData("CO-AMOUNT","CONS-AMOUNT",$A$1:$A$4,$A79:$B79,G$5:G$10,"#814,824")</f>
        <v>#NAME?</v>
      </c>
      <c r="H79" s="68"/>
      <c r="I79" s="70" t="e">
        <f t="shared" ca="1" si="12"/>
        <v>#NAME?</v>
      </c>
      <c r="J79" s="71"/>
      <c r="K79" s="67" t="e">
        <f ca="1">_xll.GetCtData("CO-AMOUNT","CONS-AMOUNT",$A$1:$A$4,$A79:$B79,K$5:K$10,"#-780,73")</f>
        <v>#NAME?</v>
      </c>
      <c r="L79" s="68"/>
      <c r="M79" s="69" t="e">
        <f ca="1">_xll.GetCtData("CO-AMOUNT","CONS-AMOUNT",$A$1:$A$4,$A79:$B79,M$5:M$10,"#-778,792")</f>
        <v>#NAME?</v>
      </c>
      <c r="N79" s="51"/>
      <c r="O79" s="70" t="e">
        <f t="shared" ca="1" si="13"/>
        <v>#NAME?</v>
      </c>
      <c r="P79" s="53"/>
      <c r="Q79" s="67" t="e">
        <f ca="1">_xll.GetCtData("CO-AMOUNT","CONS-AMOUNT",$A$1:$A$4,$A79:$B79,Q$5:Q$10,"#40,73")</f>
        <v>#NAME?</v>
      </c>
      <c r="R79" s="51"/>
      <c r="S79" s="69" t="e">
        <f ca="1">_xll.GetCtData("CO-AMOUNT","CONS-AMOUNT",$A$1:$A$4,$A79:$B79,S$5:S$10,"#37,0319999999999")</f>
        <v>#NAME?</v>
      </c>
      <c r="T79" s="51"/>
      <c r="U79" s="70" t="e">
        <f t="shared" ca="1" si="14"/>
        <v>#NAME?</v>
      </c>
      <c r="V79" s="25"/>
      <c r="W79" s="67" t="e">
        <f ca="1">_xll.GetCtData("CO-AMOUNT","CONS-AMOUNT",$A$1:$A$4,$A79:$B79,W$5:W$10,"#")</f>
        <v>#NAME?</v>
      </c>
      <c r="X79" s="51"/>
      <c r="Y79" s="69" t="e">
        <f ca="1">_xll.GetCtData("CO-AMOUNT","CONS-AMOUNT",$A$1:$A$4,$A79:$B79,Y$5:Y$10,"#")</f>
        <v>#NAME?</v>
      </c>
      <c r="Z79" s="51"/>
      <c r="AA79" s="70" t="e">
        <f ca="1">W79-Y79</f>
        <v>#NAME?</v>
      </c>
      <c r="AB79" s="53"/>
      <c r="AC79" s="67" t="e">
        <f ca="1">_xll.GetCtData("CO-AMOUNT","CONS-AMOUNT",$A$1:$A$4,$A79:$B79,AC$5:AC$10,"#")</f>
        <v>#NAME?</v>
      </c>
      <c r="AD79" s="51"/>
      <c r="AE79" s="69" t="e">
        <f ca="1">_xll.GetCtData("CO-AMOUNT","CONS-AMOUNT",$A$1:$A$4,$A79:$B79,AE$5:AE$10,"#")</f>
        <v>#NAME?</v>
      </c>
      <c r="AF79" s="51"/>
      <c r="AG79" s="70" t="e">
        <f ca="1">AC79-AE79</f>
        <v>#NAME?</v>
      </c>
      <c r="AH79" s="53"/>
      <c r="AI79" s="67" t="e">
        <f ca="1">_xll.GetCtData("CO-AMOUNT","CONS-AMOUNT",$A$1:$A$4,$A79:$B79,AI$5:AI$10,"#")</f>
        <v>#NAME?</v>
      </c>
      <c r="AJ79" s="51"/>
      <c r="AK79" s="69" t="e">
        <f ca="1">_xll.GetCtData("CO-AMOUNT","CONS-AMOUNT",$A$1:$A$4,$A79:$B79,AK$5:AK$10,"#")</f>
        <v>#NAME?</v>
      </c>
      <c r="AL79" s="51"/>
      <c r="AM79" s="70" t="e">
        <f ca="1">AI79-AK79</f>
        <v>#NAME?</v>
      </c>
      <c r="AN79" s="53"/>
      <c r="AO79" s="67" t="e">
        <f ca="1">_xll.GetCtData("CO-AMOUNT","CONS-AMOUNT",$A$1:$A$4,$A79:$B79,AO$5:AO$10,"#-18")</f>
        <v>#NAME?</v>
      </c>
      <c r="AP79" s="51"/>
      <c r="AQ79" s="69" t="e">
        <f ca="1">_xll.GetCtData("CO-AMOUNT","CONS-AMOUNT",$A$1:$A$4,$A79:$B79,AQ$5:AQ$10,"#-20")</f>
        <v>#NAME?</v>
      </c>
      <c r="AR79" s="51"/>
      <c r="AS79" s="70" t="e">
        <f ca="1">AO79-AQ79</f>
        <v>#NAME?</v>
      </c>
      <c r="AT79" s="53"/>
      <c r="AU79" s="67" t="e">
        <f t="shared" ca="1" si="24"/>
        <v>#NAME?</v>
      </c>
      <c r="AV79" s="51"/>
      <c r="AW79" s="69" t="e">
        <f t="shared" ca="1" si="25"/>
        <v>#NAME?</v>
      </c>
      <c r="AX79" s="51"/>
      <c r="AY79" s="70" t="e">
        <f ca="1">AU79-AW79</f>
        <v>#NAME?</v>
      </c>
      <c r="BA79" s="67" t="e">
        <f t="shared" ca="1" si="32"/>
        <v>#NAME?</v>
      </c>
      <c r="BB79" s="51"/>
      <c r="BC79" s="69" t="e">
        <f t="shared" ca="1" si="33"/>
        <v>#NAME?</v>
      </c>
      <c r="BD79" s="51"/>
      <c r="BE79" s="70" t="e">
        <f t="shared" ca="1" si="26"/>
        <v>#NAME?</v>
      </c>
      <c r="BG79" s="67" t="e">
        <f ca="1">_xll.GetCtData("CO-AMOUNT","CONS-AMOUNT",$A$1:$A$4,$A79:$B79,BG$5:BG$10,"#-17")</f>
        <v>#NAME?</v>
      </c>
      <c r="BH79" s="51"/>
      <c r="BI79" s="69" t="e">
        <f ca="1">_xll.GetCtData("CO-AMOUNT","CONS-AMOUNT",$A$1:$A$4,$A79:$B79,BI$5:BI$10,"#-19")</f>
        <v>#NAME?</v>
      </c>
      <c r="BJ79" s="51"/>
      <c r="BK79" s="70" t="e">
        <f t="shared" ref="BK79:BK91" ca="1" si="36">BG79-BI79</f>
        <v>#NAME?</v>
      </c>
      <c r="BL79" s="53"/>
      <c r="BN79" s="67" t="e">
        <f ca="1">_xll.GetCtData("CO-AMOUNT","CONS-AMOUNT",$A$1:$A$4,$A79:$B79,BN$5:BN$10,"#-1")</f>
        <v>#NAME?</v>
      </c>
      <c r="BO79" s="51"/>
      <c r="BP79" s="69" t="e">
        <f ca="1">_xll.GetCtData("CO-AMOUNT","CONS-AMOUNT",$A$1:$A$4,$A79:$B79,BP$5:BP$10,"#-1")</f>
        <v>#NAME?</v>
      </c>
      <c r="BQ79" s="51"/>
      <c r="BR79" s="70" t="e">
        <f t="shared" ref="BR79:BR91" ca="1" si="37">BN79-BP79</f>
        <v>#NAME?</v>
      </c>
      <c r="BS79" s="53"/>
    </row>
    <row r="80" spans="1:71" s="65" customFormat="1">
      <c r="A80" s="65" t="s">
        <v>340</v>
      </c>
      <c r="B80" s="65" t="s">
        <v>280</v>
      </c>
      <c r="C80" s="65" t="s">
        <v>281</v>
      </c>
      <c r="D80" s="97" t="str">
        <f>CHOOSE([6]Traduction!$A$2,[6]Traduction!$A48,[6]Traduction!$B48)</f>
        <v>o/w Spain</v>
      </c>
      <c r="E80" s="67" t="e">
        <f ca="1">_xll.GetCtData("CO-AMOUNT","CONS-AMOUNT",$A$1:$A$4,$A80:$B80,E$5:E$10,"#558,043")</f>
        <v>#NAME?</v>
      </c>
      <c r="F80" s="68"/>
      <c r="G80" s="69" t="e">
        <f ca="1">_xll.GetCtData("CO-AMOUNT","CONS-AMOUNT",$A$1:$A$4,$A80:$B80,G$5:G$10,"#613,758")</f>
        <v>#NAME?</v>
      </c>
      <c r="H80" s="68"/>
      <c r="I80" s="70" t="e">
        <f t="shared" ca="1" si="12"/>
        <v>#NAME?</v>
      </c>
      <c r="J80" s="71"/>
      <c r="K80" s="67" t="e">
        <f ca="1">_xll.GetCtData("CO-AMOUNT","CONS-AMOUNT",$A$1:$A$4,$A80:$B80,K$5:K$10,"#-750,071")</f>
        <v>#NAME?</v>
      </c>
      <c r="L80" s="68"/>
      <c r="M80" s="69" t="e">
        <f ca="1">_xll.GetCtData("CO-AMOUNT","CONS-AMOUNT",$A$1:$A$4,$A80:$B80,M$5:M$10,"#-724,656")</f>
        <v>#NAME?</v>
      </c>
      <c r="N80" s="51"/>
      <c r="O80" s="70" t="e">
        <f t="shared" ca="1" si="13"/>
        <v>#NAME?</v>
      </c>
      <c r="P80" s="53"/>
      <c r="Q80" s="67" t="e">
        <f ca="1">_xll.GetCtData("CO-AMOUNT","CONS-AMOUNT",$A$1:$A$4,$A80:$B80,Q$5:Q$10,"#-201,818")</f>
        <v>#NAME?</v>
      </c>
      <c r="R80" s="51"/>
      <c r="S80" s="69" t="e">
        <f ca="1">_xll.GetCtData("CO-AMOUNT","CONS-AMOUNT",$A$1:$A$4,$A80:$B80,S$5:S$10,"#-112,794")</f>
        <v>#NAME?</v>
      </c>
      <c r="T80" s="51"/>
      <c r="U80" s="70" t="e">
        <f t="shared" ca="1" si="14"/>
        <v>#NAME?</v>
      </c>
      <c r="V80" s="25"/>
      <c r="W80" s="67" t="e">
        <f ca="1">_xll.GetCtData("CO-AMOUNT","CONS-AMOUNT",$A$1:$A$4,$A80:$B80,W$5:W$10,"#")</f>
        <v>#NAME?</v>
      </c>
      <c r="X80" s="51"/>
      <c r="Y80" s="69" t="e">
        <f ca="1">_xll.GetCtData("CO-AMOUNT","CONS-AMOUNT",$A$1:$A$4,$A80:$B80,Y$5:Y$10,"#")</f>
        <v>#NAME?</v>
      </c>
      <c r="Z80" s="51"/>
      <c r="AA80" s="70" t="e">
        <f ca="1">W80-Y80</f>
        <v>#NAME?</v>
      </c>
      <c r="AB80" s="53"/>
      <c r="AC80" s="67" t="e">
        <f ca="1">_xll.GetCtData("CO-AMOUNT","CONS-AMOUNT",$A$1:$A$4,$A80:$B80,AC$5:AC$10,"#")</f>
        <v>#NAME?</v>
      </c>
      <c r="AD80" s="51"/>
      <c r="AE80" s="69" t="e">
        <f ca="1">_xll.GetCtData("CO-AMOUNT","CONS-AMOUNT",$A$1:$A$4,$A80:$B80,AE$5:AE$10,"#")</f>
        <v>#NAME?</v>
      </c>
      <c r="AF80" s="51"/>
      <c r="AG80" s="70" t="e">
        <f ca="1">AC80-AE80</f>
        <v>#NAME?</v>
      </c>
      <c r="AH80" s="53"/>
      <c r="AI80" s="67" t="e">
        <f ca="1">_xll.GetCtData("CO-AMOUNT","CONS-AMOUNT",$A$1:$A$4,$A80:$B80,AI$5:AI$10,"#")</f>
        <v>#NAME?</v>
      </c>
      <c r="AJ80" s="51"/>
      <c r="AK80" s="69" t="e">
        <f ca="1">_xll.GetCtData("CO-AMOUNT","CONS-AMOUNT",$A$1:$A$4,$A80:$B80,AK$5:AK$10,"#")</f>
        <v>#NAME?</v>
      </c>
      <c r="AL80" s="51"/>
      <c r="AM80" s="70" t="e">
        <f ca="1">AI80-AK80</f>
        <v>#NAME?</v>
      </c>
      <c r="AN80" s="53"/>
      <c r="AO80" s="67" t="e">
        <f ca="1">_xll.GetCtData("CO-AMOUNT","CONS-AMOUNT",$A$1:$A$4,$A80:$B80,AO$5:AO$10,"#-33,009")</f>
        <v>#NAME?</v>
      </c>
      <c r="AP80" s="51"/>
      <c r="AQ80" s="69" t="e">
        <f ca="1">_xll.GetCtData("CO-AMOUNT","CONS-AMOUNT",$A$1:$A$4,$A80:$B80,AQ$5:AQ$10,"#-31,216")</f>
        <v>#NAME?</v>
      </c>
      <c r="AR80" s="51"/>
      <c r="AS80" s="70" t="e">
        <f ca="1">AO80-AQ80</f>
        <v>#NAME?</v>
      </c>
      <c r="AT80" s="53"/>
      <c r="AU80" s="67" t="e">
        <f t="shared" ca="1" si="24"/>
        <v>#NAME?</v>
      </c>
      <c r="AV80" s="51"/>
      <c r="AW80" s="69" t="e">
        <f t="shared" ca="1" si="25"/>
        <v>#NAME?</v>
      </c>
      <c r="AX80" s="51"/>
      <c r="AY80" s="70" t="e">
        <f ca="1">AU80-AW80</f>
        <v>#NAME?</v>
      </c>
      <c r="BA80" s="67" t="e">
        <f t="shared" ca="1" si="32"/>
        <v>#NAME?</v>
      </c>
      <c r="BB80" s="51"/>
      <c r="BC80" s="69" t="e">
        <f t="shared" ca="1" si="33"/>
        <v>#NAME?</v>
      </c>
      <c r="BD80" s="51"/>
      <c r="BE80" s="70" t="e">
        <f t="shared" ca="1" si="26"/>
        <v>#NAME?</v>
      </c>
      <c r="BG80" s="67" t="e">
        <f ca="1">_xll.GetCtData("CO-AMOUNT","CONS-AMOUNT",$A$1:$A$4,$A80:$B80,BG$5:BG$10,"#-26,089")</f>
        <v>#NAME?</v>
      </c>
      <c r="BH80" s="51"/>
      <c r="BI80" s="69" t="e">
        <f ca="1">_xll.GetCtData("CO-AMOUNT","CONS-AMOUNT",$A$1:$A$4,$A80:$B80,BI$5:BI$10,"#-24,67")</f>
        <v>#NAME?</v>
      </c>
      <c r="BJ80" s="51"/>
      <c r="BK80" s="70" t="e">
        <f t="shared" ca="1" si="36"/>
        <v>#NAME?</v>
      </c>
      <c r="BL80" s="53"/>
      <c r="BN80" s="67" t="e">
        <f ca="1">_xll.GetCtData("CO-AMOUNT","CONS-AMOUNT",$A$1:$A$4,$A80:$B80,BN$5:BN$10,"#-6,92")</f>
        <v>#NAME?</v>
      </c>
      <c r="BO80" s="51"/>
      <c r="BP80" s="69" t="e">
        <f ca="1">_xll.GetCtData("CO-AMOUNT","CONS-AMOUNT",$A$1:$A$4,$A80:$B80,BP$5:BP$10,"#-6,546")</f>
        <v>#NAME?</v>
      </c>
      <c r="BQ80" s="51"/>
      <c r="BR80" s="70" t="e">
        <f t="shared" ca="1" si="37"/>
        <v>#NAME?</v>
      </c>
      <c r="BS80" s="53"/>
    </row>
    <row r="81" spans="1:71" s="65" customFormat="1">
      <c r="A81" s="65" t="s">
        <v>340</v>
      </c>
      <c r="B81" s="65" t="s">
        <v>330</v>
      </c>
      <c r="C81" s="65" t="s">
        <v>331</v>
      </c>
      <c r="D81" s="97" t="str">
        <f>CHOOSE([6]Traduction!$A$2,[6]Traduction!$A72,[6]Traduction!$B72)</f>
        <v>o/w Ireland</v>
      </c>
      <c r="E81" s="67" t="e">
        <f ca="1">_xll.GetCtData("CO-AMOUNT","CONS-AMOUNT",$A$1:$A$4,$A81:$B81,E$5:E$10,"#420")</f>
        <v>#NAME?</v>
      </c>
      <c r="F81" s="68"/>
      <c r="G81" s="69" t="e">
        <f ca="1">_xll.GetCtData("CO-AMOUNT","CONS-AMOUNT",$A$1:$A$4,$A81:$B81,G$5:G$10,"#441")</f>
        <v>#NAME?</v>
      </c>
      <c r="H81" s="68"/>
      <c r="I81" s="70" t="e">
        <f t="shared" ref="I81:I94" ca="1" si="38">E81-G81</f>
        <v>#NAME?</v>
      </c>
      <c r="J81" s="71"/>
      <c r="K81" s="67" t="e">
        <f ca="1">_xll.GetCtData("CO-AMOUNT","CONS-AMOUNT",$A$1:$A$4,$A81:$B81,K$5:K$10,"#-572,97")</f>
        <v>#NAME?</v>
      </c>
      <c r="L81" s="68"/>
      <c r="M81" s="69" t="e">
        <f ca="1">_xll.GetCtData("CO-AMOUNT","CONS-AMOUNT",$A$1:$A$4,$A81:$B81,M$5:M$10,"#-542,493")</f>
        <v>#NAME?</v>
      </c>
      <c r="N81" s="51"/>
      <c r="O81" s="70" t="e">
        <f t="shared" ref="O81:O94" ca="1" si="39">K81-M81</f>
        <v>#NAME?</v>
      </c>
      <c r="P81" s="53"/>
      <c r="Q81" s="67" t="e">
        <f ca="1">_xll.GetCtData("CO-AMOUNT","CONS-AMOUNT",$A$1:$A$4,$A81:$B81,Q$5:Q$10,"#-152,97")</f>
        <v>#NAME?</v>
      </c>
      <c r="R81" s="51"/>
      <c r="S81" s="69" t="e">
        <f ca="1">_xll.GetCtData("CO-AMOUNT","CONS-AMOUNT",$A$1:$A$4,$A81:$B81,S$5:S$10,"#-101,493")</f>
        <v>#NAME?</v>
      </c>
      <c r="T81" s="51"/>
      <c r="U81" s="70" t="e">
        <f t="shared" ref="U81:U94" ca="1" si="40">Q81-S81</f>
        <v>#NAME?</v>
      </c>
      <c r="V81" s="25"/>
      <c r="W81" s="67" t="e">
        <f ca="1">_xll.GetCtData("CO-AMOUNT","CONS-AMOUNT",$A$1:$A$4,$A81:$B81,W$5:W$10,"#")</f>
        <v>#NAME?</v>
      </c>
      <c r="X81" s="51"/>
      <c r="Y81" s="69" t="e">
        <f ca="1">_xll.GetCtData("CO-AMOUNT","CONS-AMOUNT",$A$1:$A$4,$A81:$B81,Y$5:Y$10,"#")</f>
        <v>#NAME?</v>
      </c>
      <c r="Z81" s="51"/>
      <c r="AA81" s="70" t="e">
        <f ca="1">W81-Y81</f>
        <v>#NAME?</v>
      </c>
      <c r="AB81" s="53"/>
      <c r="AC81" s="67" t="e">
        <f ca="1">_xll.GetCtData("CO-AMOUNT","CONS-AMOUNT",$A$1:$A$4,$A81:$B81,AC$5:AC$10,"#")</f>
        <v>#NAME?</v>
      </c>
      <c r="AD81" s="51"/>
      <c r="AE81" s="69" t="e">
        <f ca="1">_xll.GetCtData("CO-AMOUNT","CONS-AMOUNT",$A$1:$A$4,$A81:$B81,AE$5:AE$10,"#")</f>
        <v>#NAME?</v>
      </c>
      <c r="AF81" s="51"/>
      <c r="AG81" s="70" t="e">
        <f ca="1">AC81-AE81</f>
        <v>#NAME?</v>
      </c>
      <c r="AH81" s="53"/>
      <c r="AI81" s="67" t="e">
        <f ca="1">_xll.GetCtData("CO-AMOUNT","CONS-AMOUNT",$A$1:$A$4,$A81:$B81,AI$5:AI$10,"#")</f>
        <v>#NAME?</v>
      </c>
      <c r="AJ81" s="51"/>
      <c r="AK81" s="69" t="e">
        <f ca="1">_xll.GetCtData("CO-AMOUNT","CONS-AMOUNT",$A$1:$A$4,$A81:$B81,AK$5:AK$10,"#")</f>
        <v>#NAME?</v>
      </c>
      <c r="AL81" s="51"/>
      <c r="AM81" s="70" t="e">
        <f ca="1">AI81-AK81</f>
        <v>#NAME?</v>
      </c>
      <c r="AN81" s="53"/>
      <c r="AO81" s="67" t="e">
        <f ca="1">_xll.GetCtData("CO-AMOUNT","CONS-AMOUNT",$A$1:$A$4,$A81:$B81,AO$5:AO$10,"#-12,6")</f>
        <v>#NAME?</v>
      </c>
      <c r="AP81" s="51"/>
      <c r="AQ81" s="69" t="e">
        <f ca="1">_xll.GetCtData("CO-AMOUNT","CONS-AMOUNT",$A$1:$A$4,$A81:$B81,AQ$5:AQ$10,"#-10,101")</f>
        <v>#NAME?</v>
      </c>
      <c r="AR81" s="51"/>
      <c r="AS81" s="70" t="e">
        <f ca="1">AO81-AQ81</f>
        <v>#NAME?</v>
      </c>
      <c r="AT81" s="53"/>
      <c r="AU81" s="67" t="e">
        <f t="shared" ca="1" si="24"/>
        <v>#NAME?</v>
      </c>
      <c r="AV81" s="51"/>
      <c r="AW81" s="69" t="e">
        <f t="shared" ca="1" si="25"/>
        <v>#NAME?</v>
      </c>
      <c r="AX81" s="51"/>
      <c r="AY81" s="70" t="e">
        <f ca="1">AU81-AW81</f>
        <v>#NAME?</v>
      </c>
      <c r="BA81" s="67" t="e">
        <f t="shared" ca="1" si="32"/>
        <v>#NAME?</v>
      </c>
      <c r="BB81" s="51"/>
      <c r="BC81" s="69" t="e">
        <f t="shared" ca="1" si="33"/>
        <v>#NAME?</v>
      </c>
      <c r="BD81" s="51"/>
      <c r="BE81" s="70" t="e">
        <f t="shared" ca="1" si="26"/>
        <v>#NAME?</v>
      </c>
      <c r="BG81" s="67" t="e">
        <f ca="1">_xll.GetCtData("CO-AMOUNT","CONS-AMOUNT",$A$1:$A$4,$A81:$B81,BG$5:BG$10,"#-12,6")</f>
        <v>#NAME?</v>
      </c>
      <c r="BH81" s="51"/>
      <c r="BI81" s="69" t="e">
        <f ca="1">_xll.GetCtData("CO-AMOUNT","CONS-AMOUNT",$A$1:$A$4,$A81:$B81,BI$5:BI$10,"#-10,101")</f>
        <v>#NAME?</v>
      </c>
      <c r="BJ81" s="51"/>
      <c r="BK81" s="70" t="e">
        <f t="shared" ca="1" si="36"/>
        <v>#NAME?</v>
      </c>
      <c r="BL81" s="53"/>
      <c r="BN81" s="67" t="e">
        <f ca="1">_xll.GetCtData("CO-AMOUNT","CONS-AMOUNT",$A$1:$A$4,$A81:$B81,BN$5:BN$10,"#")</f>
        <v>#NAME?</v>
      </c>
      <c r="BO81" s="51"/>
      <c r="BP81" s="69" t="e">
        <f ca="1">_xll.GetCtData("CO-AMOUNT","CONS-AMOUNT",$A$1:$A$4,$A81:$B81,BP$5:BP$10,"#")</f>
        <v>#NAME?</v>
      </c>
      <c r="BQ81" s="51"/>
      <c r="BR81" s="70" t="e">
        <f t="shared" ca="1" si="37"/>
        <v>#NAME?</v>
      </c>
      <c r="BS81" s="53"/>
    </row>
    <row r="82" spans="1:71" s="65" customFormat="1">
      <c r="A82" s="65" t="s">
        <v>340</v>
      </c>
      <c r="B82" s="65" t="s">
        <v>289</v>
      </c>
      <c r="C82" s="65" t="s">
        <v>290</v>
      </c>
      <c r="D82" s="97" t="str">
        <f>CHOOSE([6]Traduction!$A$2,[6]Traduction!$A53,[6]Traduction!$B53)</f>
        <v>o/w Luxembourg</v>
      </c>
      <c r="E82" s="67" t="e">
        <f ca="1">_xll.GetCtData("CO-AMOUNT","CONS-AMOUNT",$A$1:$A$4,$A82:$B82,E$5:E$10,"#778,87")</f>
        <v>#NAME?</v>
      </c>
      <c r="F82" s="68"/>
      <c r="G82" s="69" t="e">
        <f ca="1">_xll.GetCtData("CO-AMOUNT","CONS-AMOUNT",$A$1:$A$4,$A82:$B82,G$5:G$10,"#586,628")</f>
        <v>#NAME?</v>
      </c>
      <c r="H82" s="68"/>
      <c r="I82" s="70" t="e">
        <f t="shared" ca="1" si="38"/>
        <v>#NAME?</v>
      </c>
      <c r="J82" s="71"/>
      <c r="K82" s="67" t="e">
        <f ca="1">_xll.GetCtData("CO-AMOUNT","CONS-AMOUNT",$A$1:$A$4,$A82:$B82,K$5:K$10,"#-608,068")</f>
        <v>#NAME?</v>
      </c>
      <c r="L82" s="68"/>
      <c r="M82" s="69" t="e">
        <f ca="1">_xll.GetCtData("CO-AMOUNT","CONS-AMOUNT",$A$1:$A$4,$A82:$B82,M$5:M$10,"#-591,084")</f>
        <v>#NAME?</v>
      </c>
      <c r="N82" s="51"/>
      <c r="O82" s="70" t="e">
        <f t="shared" ca="1" si="39"/>
        <v>#NAME?</v>
      </c>
      <c r="P82" s="53"/>
      <c r="Q82" s="67" t="e">
        <f ca="1">_xll.GetCtData("CO-AMOUNT","CONS-AMOUNT",$A$1:$A$4,$A82:$B82,Q$5:Q$10,"#170,802")</f>
        <v>#NAME?</v>
      </c>
      <c r="R82" s="51"/>
      <c r="S82" s="69" t="e">
        <f ca="1">_xll.GetCtData("CO-AMOUNT","CONS-AMOUNT",$A$1:$A$4,$A82:$B82,S$5:S$10,"#-4,45599999999991")</f>
        <v>#NAME?</v>
      </c>
      <c r="T82" s="51"/>
      <c r="U82" s="70" t="e">
        <f t="shared" ca="1" si="40"/>
        <v>#NAME?</v>
      </c>
      <c r="V82" s="25"/>
      <c r="W82" s="67" t="e">
        <f ca="1">_xll.GetCtData("CO-AMOUNT","CONS-AMOUNT",$A$1:$A$4,$A82:$B82,W$5:W$10,"#")</f>
        <v>#NAME?</v>
      </c>
      <c r="X82" s="51"/>
      <c r="Y82" s="69" t="e">
        <f ca="1">_xll.GetCtData("CO-AMOUNT","CONS-AMOUNT",$A$1:$A$4,$A82:$B82,Y$5:Y$10,"#")</f>
        <v>#NAME?</v>
      </c>
      <c r="Z82" s="51"/>
      <c r="AA82" s="70" t="e">
        <f ca="1">W82-Y82</f>
        <v>#NAME?</v>
      </c>
      <c r="AB82" s="53"/>
      <c r="AC82" s="67" t="e">
        <f ca="1">_xll.GetCtData("CO-AMOUNT","CONS-AMOUNT",$A$1:$A$4,$A82:$B82,AC$5:AC$10,"#")</f>
        <v>#NAME?</v>
      </c>
      <c r="AD82" s="51"/>
      <c r="AE82" s="69" t="e">
        <f ca="1">_xll.GetCtData("CO-AMOUNT","CONS-AMOUNT",$A$1:$A$4,$A82:$B82,AE$5:AE$10,"#")</f>
        <v>#NAME?</v>
      </c>
      <c r="AF82" s="51"/>
      <c r="AG82" s="70" t="e">
        <f ca="1">AC82-AE82</f>
        <v>#NAME?</v>
      </c>
      <c r="AH82" s="53"/>
      <c r="AI82" s="67" t="e">
        <f ca="1">_xll.GetCtData("CO-AMOUNT","CONS-AMOUNT",$A$1:$A$4,$A82:$B82,AI$5:AI$10,"#")</f>
        <v>#NAME?</v>
      </c>
      <c r="AJ82" s="51"/>
      <c r="AK82" s="69" t="e">
        <f ca="1">_xll.GetCtData("CO-AMOUNT","CONS-AMOUNT",$A$1:$A$4,$A82:$B82,AK$5:AK$10,"#")</f>
        <v>#NAME?</v>
      </c>
      <c r="AL82" s="51"/>
      <c r="AM82" s="70" t="e">
        <f ca="1">AI82-AK82</f>
        <v>#NAME?</v>
      </c>
      <c r="AN82" s="53"/>
      <c r="AO82" s="67" t="e">
        <f ca="1">_xll.GetCtData("CO-AMOUNT","CONS-AMOUNT",$A$1:$A$4,$A82:$B82,AO$5:AO$10,"#-21,231")</f>
        <v>#NAME?</v>
      </c>
      <c r="AP82" s="51"/>
      <c r="AQ82" s="69" t="e">
        <f ca="1">_xll.GetCtData("CO-AMOUNT","CONS-AMOUNT",$A$1:$A$4,$A82:$B82,AQ$5:AQ$10,"#-21,231")</f>
        <v>#NAME?</v>
      </c>
      <c r="AR82" s="51"/>
      <c r="AS82" s="70" t="e">
        <f ca="1">AO82-AQ82</f>
        <v>#NAME?</v>
      </c>
      <c r="AT82" s="53"/>
      <c r="AU82" s="67" t="e">
        <f t="shared" ref="AU82:AU95" ca="1" si="41">W82+AC82+AI82+AO82</f>
        <v>#NAME?</v>
      </c>
      <c r="AV82" s="51"/>
      <c r="AW82" s="69" t="e">
        <f t="shared" ref="AW82:AW95" ca="1" si="42">Y82+AE82+AK82+AQ82</f>
        <v>#NAME?</v>
      </c>
      <c r="AX82" s="51"/>
      <c r="AY82" s="70" t="e">
        <f ca="1">AU82-AW82</f>
        <v>#NAME?</v>
      </c>
      <c r="BA82" s="67" t="e">
        <f t="shared" ca="1" si="32"/>
        <v>#NAME?</v>
      </c>
      <c r="BB82" s="51"/>
      <c r="BC82" s="69" t="e">
        <f t="shared" ca="1" si="33"/>
        <v>#NAME?</v>
      </c>
      <c r="BD82" s="51"/>
      <c r="BE82" s="70" t="e">
        <f t="shared" ref="BE82:BE95" ca="1" si="43">BA82-BC82</f>
        <v>#NAME?</v>
      </c>
      <c r="BG82" s="67" t="e">
        <f ca="1">_xll.GetCtData("CO-AMOUNT","CONS-AMOUNT",$A$1:$A$4,$A82:$B82,BG$5:BG$10,"#-21,231")</f>
        <v>#NAME?</v>
      </c>
      <c r="BH82" s="51"/>
      <c r="BI82" s="69" t="e">
        <f ca="1">_xll.GetCtData("CO-AMOUNT","CONS-AMOUNT",$A$1:$A$4,$A82:$B82,BI$5:BI$10,"#-21,231")</f>
        <v>#NAME?</v>
      </c>
      <c r="BJ82" s="51"/>
      <c r="BK82" s="70" t="e">
        <f t="shared" ca="1" si="36"/>
        <v>#NAME?</v>
      </c>
      <c r="BL82" s="53"/>
      <c r="BN82" s="67" t="e">
        <f ca="1">_xll.GetCtData("CO-AMOUNT","CONS-AMOUNT",$A$1:$A$4,$A82:$B82,BN$5:BN$10,"#")</f>
        <v>#NAME?</v>
      </c>
      <c r="BO82" s="51"/>
      <c r="BP82" s="69" t="e">
        <f ca="1">_xll.GetCtData("CO-AMOUNT","CONS-AMOUNT",$A$1:$A$4,$A82:$B82,BP$5:BP$10,"#")</f>
        <v>#NAME?</v>
      </c>
      <c r="BQ82" s="51"/>
      <c r="BR82" s="70" t="e">
        <f t="shared" ca="1" si="37"/>
        <v>#NAME?</v>
      </c>
      <c r="BS82" s="53"/>
    </row>
    <row r="83" spans="1:71" s="44" customFormat="1">
      <c r="A83" s="65"/>
      <c r="B83" s="65"/>
      <c r="C83" s="65"/>
      <c r="D83" s="86" t="str">
        <f>CHOOSE([6]Traduction!$A$2,[6]Traduction!$A88,[6]Traduction!$B88)</f>
        <v>Platforms</v>
      </c>
      <c r="E83" s="87" t="e">
        <f ca="1">E84+E85+E86+E87</f>
        <v>#NAME?</v>
      </c>
      <c r="F83" s="47"/>
      <c r="G83" s="88" t="e">
        <f ca="1">G84+G85+G86+G87</f>
        <v>#NAME?</v>
      </c>
      <c r="H83" s="47"/>
      <c r="I83" s="89" t="e">
        <f t="shared" ca="1" si="38"/>
        <v>#NAME?</v>
      </c>
      <c r="K83" s="87" t="e">
        <f ca="1">K84+K85+K86+K87</f>
        <v>#NAME?</v>
      </c>
      <c r="L83" s="47"/>
      <c r="M83" s="88" t="e">
        <f ca="1">M84+M85+M86+M87</f>
        <v>#NAME?</v>
      </c>
      <c r="N83" s="51"/>
      <c r="O83" s="90" t="e">
        <f t="shared" ca="1" si="39"/>
        <v>#NAME?</v>
      </c>
      <c r="P83" s="53"/>
      <c r="Q83" s="87" t="e">
        <f ca="1">Q84+Q85+Q86+Q87</f>
        <v>#NAME?</v>
      </c>
      <c r="R83" s="47"/>
      <c r="S83" s="88" t="e">
        <f ca="1">S84+S85+S86+S87</f>
        <v>#NAME?</v>
      </c>
      <c r="T83" s="51"/>
      <c r="U83" s="90" t="e">
        <f t="shared" ca="1" si="40"/>
        <v>#NAME?</v>
      </c>
      <c r="V83" s="25"/>
      <c r="W83" s="87" t="e">
        <f ca="1">W84+W85+W86+W87</f>
        <v>#NAME?</v>
      </c>
      <c r="X83" s="47"/>
      <c r="Y83" s="88" t="e">
        <f ca="1">Y84+Y85+Y86+Y87</f>
        <v>#NAME?</v>
      </c>
      <c r="Z83" s="51"/>
      <c r="AA83" s="89" t="e">
        <f t="shared" ref="AA83:AA94" ca="1" si="44">W83-Y83</f>
        <v>#NAME?</v>
      </c>
      <c r="AB83" s="53"/>
      <c r="AC83" s="87" t="e">
        <f ca="1">AC84+AC85+AC86+AC87</f>
        <v>#NAME?</v>
      </c>
      <c r="AD83" s="47"/>
      <c r="AE83" s="88" t="e">
        <f ca="1">AE84+AE85+AE86+AE87</f>
        <v>#NAME?</v>
      </c>
      <c r="AF83" s="51"/>
      <c r="AG83" s="89" t="e">
        <f t="shared" ref="AG83:AG94" ca="1" si="45">AC83-AE83</f>
        <v>#NAME?</v>
      </c>
      <c r="AH83" s="53"/>
      <c r="AI83" s="87" t="e">
        <f ca="1">AI84+AI85+AI86+AI87</f>
        <v>#NAME?</v>
      </c>
      <c r="AJ83" s="47"/>
      <c r="AK83" s="88" t="e">
        <f ca="1">AK84+AK85+AK86+AK87</f>
        <v>#NAME?</v>
      </c>
      <c r="AL83" s="51"/>
      <c r="AM83" s="89" t="e">
        <f t="shared" ref="AM83:AM94" ca="1" si="46">AI83-AK83</f>
        <v>#NAME?</v>
      </c>
      <c r="AN83" s="53"/>
      <c r="AO83" s="87" t="e">
        <f ca="1">AO84+AO85+AO86+AO87</f>
        <v>#NAME?</v>
      </c>
      <c r="AP83" s="47"/>
      <c r="AQ83" s="88" t="e">
        <f ca="1">AQ84+AQ85+AQ86+AQ87</f>
        <v>#NAME?</v>
      </c>
      <c r="AR83" s="51"/>
      <c r="AS83" s="89" t="e">
        <f t="shared" ref="AS83:AS94" ca="1" si="47">AO83-AQ83</f>
        <v>#NAME?</v>
      </c>
      <c r="AT83" s="53"/>
      <c r="AU83" s="87" t="e">
        <f t="shared" ca="1" si="41"/>
        <v>#NAME?</v>
      </c>
      <c r="AV83" s="47"/>
      <c r="AW83" s="88" t="e">
        <f t="shared" ca="1" si="42"/>
        <v>#NAME?</v>
      </c>
      <c r="AX83" s="51"/>
      <c r="AY83" s="89" t="e">
        <f t="shared" ref="AY83:AY94" ca="1" si="48">AU83-AW83</f>
        <v>#NAME?</v>
      </c>
      <c r="BA83" s="87" t="e">
        <f t="shared" ca="1" si="32"/>
        <v>#NAME?</v>
      </c>
      <c r="BB83" s="47"/>
      <c r="BC83" s="88" t="e">
        <f t="shared" ca="1" si="33"/>
        <v>#NAME?</v>
      </c>
      <c r="BD83" s="51"/>
      <c r="BE83" s="89" t="e">
        <f t="shared" ca="1" si="43"/>
        <v>#NAME?</v>
      </c>
      <c r="BG83" s="87" t="e">
        <f ca="1">BG84+BG85+BG86+BG87</f>
        <v>#NAME?</v>
      </c>
      <c r="BH83" s="47"/>
      <c r="BI83" s="88" t="e">
        <f ca="1">BI84+BI85+BI86+BI87</f>
        <v>#NAME?</v>
      </c>
      <c r="BJ83" s="51"/>
      <c r="BK83" s="89" t="e">
        <f t="shared" ca="1" si="36"/>
        <v>#NAME?</v>
      </c>
      <c r="BL83" s="53"/>
      <c r="BN83" s="87" t="e">
        <f ca="1">BN84+BN85+BN86+BN87</f>
        <v>#NAME?</v>
      </c>
      <c r="BO83" s="47"/>
      <c r="BP83" s="88" t="e">
        <f ca="1">BP84+BP85+BP86+BP87</f>
        <v>#NAME?</v>
      </c>
      <c r="BQ83" s="51"/>
      <c r="BR83" s="89" t="e">
        <f t="shared" ca="1" si="37"/>
        <v>#NAME?</v>
      </c>
      <c r="BS83" s="53"/>
    </row>
    <row r="84" spans="1:71" s="44" customFormat="1" outlineLevel="1">
      <c r="A84" s="65" t="s">
        <v>345</v>
      </c>
      <c r="B84" s="65" t="s">
        <v>346</v>
      </c>
      <c r="C84" s="65" t="s">
        <v>347</v>
      </c>
      <c r="D84" s="130" t="str">
        <f>CHOOSE([6]Traduction!$A$2,[6]Traduction!$A89,[6]Traduction!$B89)</f>
        <v>o/w Asia</v>
      </c>
      <c r="E84" s="67" t="e">
        <f ca="1">_xll.GetCtData("CO-AMOUNT","CONS-AMOUNT",$A$1:$A$4,$A84:$B84,E$5:E$10,"#-2,15")</f>
        <v>#NAME?</v>
      </c>
      <c r="F84" s="68"/>
      <c r="G84" s="69" t="e">
        <f ca="1">_xll.GetCtData("CO-AMOUNT","CONS-AMOUNT",$A$1:$A$4,$A84:$B84,G$5:G$10,"#-1,673")</f>
        <v>#NAME?</v>
      </c>
      <c r="H84" s="68"/>
      <c r="I84" s="70" t="e">
        <f t="shared" ca="1" si="38"/>
        <v>#NAME?</v>
      </c>
      <c r="J84" s="71"/>
      <c r="K84" s="67" t="e">
        <f ca="1">_xll.GetCtData("CO-AMOUNT","CONS-AMOUNT",$A$1:$A$4,$A84:$B84,K$5:K$10,"#-212,426")</f>
        <v>#NAME?</v>
      </c>
      <c r="L84" s="68"/>
      <c r="M84" s="69" t="e">
        <f ca="1">_xll.GetCtData("CO-AMOUNT","CONS-AMOUNT",$A$1:$A$4,$A84:$B84,M$5:M$10,"#-237,075")</f>
        <v>#NAME?</v>
      </c>
      <c r="N84" s="51"/>
      <c r="O84" s="70" t="e">
        <f t="shared" ca="1" si="39"/>
        <v>#NAME?</v>
      </c>
      <c r="P84" s="53"/>
      <c r="Q84" s="67" t="e">
        <f ca="1">_xll.GetCtData("CO-AMOUNT","CONS-AMOUNT",$A$1:$A$4,$A84:$B84,Q$5:Q$10,"#-214,576")</f>
        <v>#NAME?</v>
      </c>
      <c r="R84" s="51"/>
      <c r="S84" s="69" t="e">
        <f ca="1">_xll.GetCtData("CO-AMOUNT","CONS-AMOUNT",$A$1:$A$4,$A84:$B84,S$5:S$10,"#-238,748")</f>
        <v>#NAME?</v>
      </c>
      <c r="T84" s="51"/>
      <c r="U84" s="70" t="e">
        <f t="shared" ca="1" si="40"/>
        <v>#NAME?</v>
      </c>
      <c r="V84" s="25"/>
      <c r="W84" s="67" t="e">
        <f ca="1">_xll.GetCtData("CO-AMOUNT","CONS-AMOUNT",$A$1:$A$4,$A84:$B84,W$5:W$10,"#")</f>
        <v>#NAME?</v>
      </c>
      <c r="X84" s="51"/>
      <c r="Y84" s="69" t="e">
        <f ca="1">_xll.GetCtData("CO-AMOUNT","CONS-AMOUNT",$A$1:$A$4,$A84:$B84,Y$5:Y$10,"#")</f>
        <v>#NAME?</v>
      </c>
      <c r="Z84" s="51"/>
      <c r="AA84" s="70" t="e">
        <f t="shared" ca="1" si="44"/>
        <v>#NAME?</v>
      </c>
      <c r="AB84" s="53"/>
      <c r="AC84" s="67" t="e">
        <f ca="1">_xll.GetCtData("CO-AMOUNT","CONS-AMOUNT",$A$1:$A$4,$A84:$B84,AC$5:AC$10,"#")</f>
        <v>#NAME?</v>
      </c>
      <c r="AD84" s="51"/>
      <c r="AE84" s="69" t="e">
        <f ca="1">_xll.GetCtData("CO-AMOUNT","CONS-AMOUNT",$A$1:$A$4,$A84:$B84,AE$5:AE$10,"#")</f>
        <v>#NAME?</v>
      </c>
      <c r="AF84" s="51"/>
      <c r="AG84" s="70" t="e">
        <f t="shared" ca="1" si="45"/>
        <v>#NAME?</v>
      </c>
      <c r="AH84" s="53"/>
      <c r="AI84" s="67" t="e">
        <f ca="1">_xll.GetCtData("CO-AMOUNT","CONS-AMOUNT",$A$1:$A$4,$A84:$B84,AI$5:AI$10,"#")</f>
        <v>#NAME?</v>
      </c>
      <c r="AJ84" s="51"/>
      <c r="AK84" s="69" t="e">
        <f ca="1">_xll.GetCtData("CO-AMOUNT","CONS-AMOUNT",$A$1:$A$4,$A84:$B84,AK$5:AK$10,"#")</f>
        <v>#NAME?</v>
      </c>
      <c r="AL84" s="51"/>
      <c r="AM84" s="70" t="e">
        <f t="shared" ca="1" si="46"/>
        <v>#NAME?</v>
      </c>
      <c r="AN84" s="53"/>
      <c r="AO84" s="67" t="e">
        <f ca="1">_xll.GetCtData("CO-AMOUNT","CONS-AMOUNT",$A$1:$A$4,$A84:$B84,AO$5:AO$10,"#")</f>
        <v>#NAME?</v>
      </c>
      <c r="AP84" s="51"/>
      <c r="AQ84" s="69" t="e">
        <f ca="1">_xll.GetCtData("CO-AMOUNT","CONS-AMOUNT",$A$1:$A$4,$A84:$B84,AQ$5:AQ$10,"#")</f>
        <v>#NAME?</v>
      </c>
      <c r="AR84" s="51"/>
      <c r="AS84" s="70" t="e">
        <f t="shared" ca="1" si="47"/>
        <v>#NAME?</v>
      </c>
      <c r="AT84" s="53"/>
      <c r="AU84" s="67" t="e">
        <f t="shared" ca="1" si="41"/>
        <v>#NAME?</v>
      </c>
      <c r="AV84" s="51"/>
      <c r="AW84" s="69" t="e">
        <f t="shared" ca="1" si="42"/>
        <v>#NAME?</v>
      </c>
      <c r="AX84" s="51"/>
      <c r="AY84" s="70" t="e">
        <f t="shared" ca="1" si="48"/>
        <v>#NAME?</v>
      </c>
      <c r="BA84" s="67" t="e">
        <f t="shared" ca="1" si="32"/>
        <v>#NAME?</v>
      </c>
      <c r="BB84" s="51"/>
      <c r="BC84" s="69" t="e">
        <f t="shared" ca="1" si="33"/>
        <v>#NAME?</v>
      </c>
      <c r="BD84" s="51"/>
      <c r="BE84" s="70" t="e">
        <f t="shared" ca="1" si="43"/>
        <v>#NAME?</v>
      </c>
      <c r="BG84" s="67" t="e">
        <f ca="1">_xll.GetCtData("CO-AMOUNT","CONS-AMOUNT",$A$1:$A$4,$A84:$B84,BG$5:BG$10,"#")</f>
        <v>#NAME?</v>
      </c>
      <c r="BH84" s="51"/>
      <c r="BI84" s="69" t="e">
        <f ca="1">_xll.GetCtData("CO-AMOUNT","CONS-AMOUNT",$A$1:$A$4,$A84:$B84,BI$5:BI$10,"#")</f>
        <v>#NAME?</v>
      </c>
      <c r="BJ84" s="51"/>
      <c r="BK84" s="70" t="e">
        <f t="shared" ca="1" si="36"/>
        <v>#NAME?</v>
      </c>
      <c r="BL84" s="53"/>
      <c r="BN84" s="67" t="e">
        <f ca="1">_xll.GetCtData("CO-AMOUNT","CONS-AMOUNT",$A$1:$A$4,$A84:$B84,BN$5:BN$10,"#")</f>
        <v>#NAME?</v>
      </c>
      <c r="BO84" s="51"/>
      <c r="BP84" s="69" t="e">
        <f ca="1">_xll.GetCtData("CO-AMOUNT","CONS-AMOUNT",$A$1:$A$4,$A84:$B84,BP$5:BP$10,"#")</f>
        <v>#NAME?</v>
      </c>
      <c r="BQ84" s="51"/>
      <c r="BR84" s="70" t="e">
        <f t="shared" ca="1" si="37"/>
        <v>#NAME?</v>
      </c>
      <c r="BS84" s="53"/>
    </row>
    <row r="85" spans="1:71" s="44" customFormat="1" outlineLevel="1">
      <c r="A85" s="65" t="s">
        <v>345</v>
      </c>
      <c r="B85" s="65" t="s">
        <v>348</v>
      </c>
      <c r="C85" s="65" t="s">
        <v>347</v>
      </c>
      <c r="D85" s="130" t="str">
        <f>CHOOSE([6]Traduction!$A$2,[6]Traduction!$A90,[6]Traduction!$B90)</f>
        <v>o/w Middle East</v>
      </c>
      <c r="E85" s="67" t="e">
        <f ca="1">_xll.GetCtData("CO-AMOUNT","CONS-AMOUNT",$A$1:$A$4,$A85:$B85,E$5:E$10,"#10,36")</f>
        <v>#NAME?</v>
      </c>
      <c r="F85" s="68"/>
      <c r="G85" s="69" t="e">
        <f ca="1">_xll.GetCtData("CO-AMOUNT","CONS-AMOUNT",$A$1:$A$4,$A85:$B85,G$5:G$10,"#-15,123")</f>
        <v>#NAME?</v>
      </c>
      <c r="H85" s="68"/>
      <c r="I85" s="70" t="e">
        <f t="shared" ca="1" si="38"/>
        <v>#NAME?</v>
      </c>
      <c r="J85" s="71"/>
      <c r="K85" s="67" t="e">
        <f ca="1">_xll.GetCtData("CO-AMOUNT","CONS-AMOUNT",$A$1:$A$4,$A85:$B85,K$5:K$10,"#-133,1")</f>
        <v>#NAME?</v>
      </c>
      <c r="L85" s="68"/>
      <c r="M85" s="69" t="e">
        <f ca="1">_xll.GetCtData("CO-AMOUNT","CONS-AMOUNT",$A$1:$A$4,$A85:$B85,M$5:M$10,"#-223,354")</f>
        <v>#NAME?</v>
      </c>
      <c r="N85" s="51"/>
      <c r="O85" s="70" t="e">
        <f t="shared" ca="1" si="39"/>
        <v>#NAME?</v>
      </c>
      <c r="P85" s="53"/>
      <c r="Q85" s="67" t="e">
        <f ca="1">_xll.GetCtData("CO-AMOUNT","CONS-AMOUNT",$A$1:$A$4,$A85:$B85,Q$5:Q$10,"#-122,74")</f>
        <v>#NAME?</v>
      </c>
      <c r="R85" s="51"/>
      <c r="S85" s="69" t="e">
        <f ca="1">_xll.GetCtData("CO-AMOUNT","CONS-AMOUNT",$A$1:$A$4,$A85:$B85,S$5:S$10,"#-238,477")</f>
        <v>#NAME?</v>
      </c>
      <c r="T85" s="51"/>
      <c r="U85" s="70" t="e">
        <f t="shared" ca="1" si="40"/>
        <v>#NAME?</v>
      </c>
      <c r="V85" s="25"/>
      <c r="W85" s="67" t="e">
        <f ca="1">_xll.GetCtData("CO-AMOUNT","CONS-AMOUNT",$A$1:$A$4,$A85:$B85,W$5:W$10,"#")</f>
        <v>#NAME?</v>
      </c>
      <c r="X85" s="51"/>
      <c r="Y85" s="69" t="e">
        <f ca="1">_xll.GetCtData("CO-AMOUNT","CONS-AMOUNT",$A$1:$A$4,$A85:$B85,Y$5:Y$10,"#")</f>
        <v>#NAME?</v>
      </c>
      <c r="Z85" s="51"/>
      <c r="AA85" s="70" t="e">
        <f t="shared" ca="1" si="44"/>
        <v>#NAME?</v>
      </c>
      <c r="AB85" s="53"/>
      <c r="AC85" s="67" t="e">
        <f ca="1">_xll.GetCtData("CO-AMOUNT","CONS-AMOUNT",$A$1:$A$4,$A85:$B85,AC$5:AC$10,"#")</f>
        <v>#NAME?</v>
      </c>
      <c r="AD85" s="51"/>
      <c r="AE85" s="69" t="e">
        <f ca="1">_xll.GetCtData("CO-AMOUNT","CONS-AMOUNT",$A$1:$A$4,$A85:$B85,AE$5:AE$10,"#")</f>
        <v>#NAME?</v>
      </c>
      <c r="AF85" s="51"/>
      <c r="AG85" s="70" t="e">
        <f t="shared" ca="1" si="45"/>
        <v>#NAME?</v>
      </c>
      <c r="AH85" s="53"/>
      <c r="AI85" s="67" t="e">
        <f ca="1">_xll.GetCtData("CO-AMOUNT","CONS-AMOUNT",$A$1:$A$4,$A85:$B85,AI$5:AI$10,"#")</f>
        <v>#NAME?</v>
      </c>
      <c r="AJ85" s="51"/>
      <c r="AK85" s="69" t="e">
        <f ca="1">_xll.GetCtData("CO-AMOUNT","CONS-AMOUNT",$A$1:$A$4,$A85:$B85,AK$5:AK$10,"#")</f>
        <v>#NAME?</v>
      </c>
      <c r="AL85" s="51"/>
      <c r="AM85" s="70" t="e">
        <f t="shared" ca="1" si="46"/>
        <v>#NAME?</v>
      </c>
      <c r="AN85" s="53"/>
      <c r="AO85" s="67" t="e">
        <f ca="1">_xll.GetCtData("CO-AMOUNT","CONS-AMOUNT",$A$1:$A$4,$A85:$B85,AO$5:AO$10,"#")</f>
        <v>#NAME?</v>
      </c>
      <c r="AP85" s="51"/>
      <c r="AQ85" s="69" t="e">
        <f ca="1">_xll.GetCtData("CO-AMOUNT","CONS-AMOUNT",$A$1:$A$4,$A85:$B85,AQ$5:AQ$10,"#")</f>
        <v>#NAME?</v>
      </c>
      <c r="AR85" s="51"/>
      <c r="AS85" s="70" t="e">
        <f t="shared" ca="1" si="47"/>
        <v>#NAME?</v>
      </c>
      <c r="AT85" s="53"/>
      <c r="AU85" s="67" t="e">
        <f t="shared" ca="1" si="41"/>
        <v>#NAME?</v>
      </c>
      <c r="AV85" s="51"/>
      <c r="AW85" s="69" t="e">
        <f t="shared" ca="1" si="42"/>
        <v>#NAME?</v>
      </c>
      <c r="AX85" s="51"/>
      <c r="AY85" s="70" t="e">
        <f t="shared" ca="1" si="48"/>
        <v>#NAME?</v>
      </c>
      <c r="BA85" s="67" t="e">
        <f t="shared" ca="1" si="32"/>
        <v>#NAME?</v>
      </c>
      <c r="BB85" s="51"/>
      <c r="BC85" s="69" t="e">
        <f t="shared" ca="1" si="33"/>
        <v>#NAME?</v>
      </c>
      <c r="BD85" s="51"/>
      <c r="BE85" s="70" t="e">
        <f t="shared" ca="1" si="43"/>
        <v>#NAME?</v>
      </c>
      <c r="BG85" s="67" t="e">
        <f ca="1">_xll.GetCtData("CO-AMOUNT","CONS-AMOUNT",$A$1:$A$4,$A85:$B85,BG$5:BG$10,"#")</f>
        <v>#NAME?</v>
      </c>
      <c r="BH85" s="51"/>
      <c r="BI85" s="69" t="e">
        <f ca="1">_xll.GetCtData("CO-AMOUNT","CONS-AMOUNT",$A$1:$A$4,$A85:$B85,BI$5:BI$10,"#")</f>
        <v>#NAME?</v>
      </c>
      <c r="BJ85" s="51"/>
      <c r="BK85" s="70" t="e">
        <f t="shared" ca="1" si="36"/>
        <v>#NAME?</v>
      </c>
      <c r="BL85" s="53"/>
      <c r="BN85" s="67" t="e">
        <f ca="1">_xll.GetCtData("CO-AMOUNT","CONS-AMOUNT",$A$1:$A$4,$A85:$B85,BN$5:BN$10,"#")</f>
        <v>#NAME?</v>
      </c>
      <c r="BO85" s="51"/>
      <c r="BP85" s="69" t="e">
        <f ca="1">_xll.GetCtData("CO-AMOUNT","CONS-AMOUNT",$A$1:$A$4,$A85:$B85,BP$5:BP$10,"#")</f>
        <v>#NAME?</v>
      </c>
      <c r="BQ85" s="51"/>
      <c r="BR85" s="70" t="e">
        <f t="shared" ca="1" si="37"/>
        <v>#NAME?</v>
      </c>
      <c r="BS85" s="53"/>
    </row>
    <row r="86" spans="1:71" s="44" customFormat="1" outlineLevel="1">
      <c r="A86" s="65" t="s">
        <v>345</v>
      </c>
      <c r="B86" s="65" t="s">
        <v>349</v>
      </c>
      <c r="C86" s="65" t="s">
        <v>347</v>
      </c>
      <c r="D86" s="130" t="str">
        <f>CHOOSE([6]Traduction!$A$2,[6]Traduction!$A91,[6]Traduction!$B91)</f>
        <v>o/w Singapore</v>
      </c>
      <c r="E86" s="67" t="e">
        <f ca="1">_xll.GetCtData("CO-AMOUNT","CONS-AMOUNT",$A$1:$A$4,$A86:$B86,E$5:E$10,"#-0,937584431780186")</f>
        <v>#NAME?</v>
      </c>
      <c r="F86" s="68"/>
      <c r="G86" s="69" t="e">
        <f ca="1">_xll.GetCtData("CO-AMOUNT","CONS-AMOUNT",$A$1:$A$4,$A86:$B86,G$5:G$10,"#-0,977966974869566")</f>
        <v>#NAME?</v>
      </c>
      <c r="H86" s="68"/>
      <c r="I86" s="70" t="e">
        <f t="shared" ca="1" si="38"/>
        <v>#NAME?</v>
      </c>
      <c r="J86" s="71"/>
      <c r="K86" s="67" t="e">
        <f ca="1">_xll.GetCtData("CO-AMOUNT","CONS-AMOUNT",$A$1:$A$4,$A86:$B86,K$5:K$10,"#12,0211718217531")</f>
        <v>#NAME?</v>
      </c>
      <c r="L86" s="68"/>
      <c r="M86" s="69" t="e">
        <f ca="1">_xll.GetCtData("CO-AMOUNT","CONS-AMOUNT",$A$1:$A$4,$A86:$B86,M$5:M$10,"#-62,0696345723679")</f>
        <v>#NAME?</v>
      </c>
      <c r="N86" s="51"/>
      <c r="O86" s="70" t="e">
        <f t="shared" ca="1" si="39"/>
        <v>#NAME?</v>
      </c>
      <c r="P86" s="53"/>
      <c r="Q86" s="67" t="e">
        <f ca="1">_xll.GetCtData("CO-AMOUNT","CONS-AMOUNT",$A$1:$A$4,$A86:$B86,Q$5:Q$10,"#11,0835873899729")</f>
        <v>#NAME?</v>
      </c>
      <c r="R86" s="51"/>
      <c r="S86" s="69" t="e">
        <f ca="1">_xll.GetCtData("CO-AMOUNT","CONS-AMOUNT",$A$1:$A$4,$A86:$B86,S$5:S$10,"#-63,0476015472374")</f>
        <v>#NAME?</v>
      </c>
      <c r="T86" s="51"/>
      <c r="U86" s="70" t="e">
        <f t="shared" ca="1" si="40"/>
        <v>#NAME?</v>
      </c>
      <c r="V86" s="25"/>
      <c r="W86" s="67" t="e">
        <f ca="1">_xll.GetCtData("CO-AMOUNT","CONS-AMOUNT",$A$1:$A$4,$A86:$B86,W$5:W$10,"#")</f>
        <v>#NAME?</v>
      </c>
      <c r="X86" s="51"/>
      <c r="Y86" s="69" t="e">
        <f ca="1">_xll.GetCtData("CO-AMOUNT","CONS-AMOUNT",$A$1:$A$4,$A86:$B86,Y$5:Y$10,"#")</f>
        <v>#NAME?</v>
      </c>
      <c r="Z86" s="51"/>
      <c r="AA86" s="70" t="e">
        <f t="shared" ca="1" si="44"/>
        <v>#NAME?</v>
      </c>
      <c r="AB86" s="53"/>
      <c r="AC86" s="67" t="e">
        <f ca="1">_xll.GetCtData("CO-AMOUNT","CONS-AMOUNT",$A$1:$A$4,$A86:$B86,AC$5:AC$10,"#")</f>
        <v>#NAME?</v>
      </c>
      <c r="AD86" s="51"/>
      <c r="AE86" s="69" t="e">
        <f ca="1">_xll.GetCtData("CO-AMOUNT","CONS-AMOUNT",$A$1:$A$4,$A86:$B86,AE$5:AE$10,"#")</f>
        <v>#NAME?</v>
      </c>
      <c r="AF86" s="51"/>
      <c r="AG86" s="70" t="e">
        <f t="shared" ca="1" si="45"/>
        <v>#NAME?</v>
      </c>
      <c r="AH86" s="53"/>
      <c r="AI86" s="67" t="e">
        <f ca="1">_xll.GetCtData("CO-AMOUNT","CONS-AMOUNT",$A$1:$A$4,$A86:$B86,AI$5:AI$10,"#")</f>
        <v>#NAME?</v>
      </c>
      <c r="AJ86" s="51"/>
      <c r="AK86" s="69" t="e">
        <f ca="1">_xll.GetCtData("CO-AMOUNT","CONS-AMOUNT",$A$1:$A$4,$A86:$B86,AK$5:AK$10,"#")</f>
        <v>#NAME?</v>
      </c>
      <c r="AL86" s="51"/>
      <c r="AM86" s="70" t="e">
        <f t="shared" ca="1" si="46"/>
        <v>#NAME?</v>
      </c>
      <c r="AN86" s="53"/>
      <c r="AO86" s="67" t="e">
        <f ca="1">_xll.GetCtData("CO-AMOUNT","CONS-AMOUNT",$A$1:$A$4,$A86:$B86,AO$5:AO$10,"#")</f>
        <v>#NAME?</v>
      </c>
      <c r="AP86" s="51"/>
      <c r="AQ86" s="69" t="e">
        <f ca="1">_xll.GetCtData("CO-AMOUNT","CONS-AMOUNT",$A$1:$A$4,$A86:$B86,AQ$5:AQ$10,"#")</f>
        <v>#NAME?</v>
      </c>
      <c r="AR86" s="51"/>
      <c r="AS86" s="70" t="e">
        <f t="shared" ca="1" si="47"/>
        <v>#NAME?</v>
      </c>
      <c r="AT86" s="53"/>
      <c r="AU86" s="67" t="e">
        <f t="shared" ca="1" si="41"/>
        <v>#NAME?</v>
      </c>
      <c r="AV86" s="51"/>
      <c r="AW86" s="69" t="e">
        <f t="shared" ca="1" si="42"/>
        <v>#NAME?</v>
      </c>
      <c r="AX86" s="51"/>
      <c r="AY86" s="70" t="e">
        <f t="shared" ca="1" si="48"/>
        <v>#NAME?</v>
      </c>
      <c r="BA86" s="67" t="e">
        <f t="shared" ca="1" si="32"/>
        <v>#NAME?</v>
      </c>
      <c r="BB86" s="51"/>
      <c r="BC86" s="69" t="e">
        <f t="shared" ca="1" si="33"/>
        <v>#NAME?</v>
      </c>
      <c r="BD86" s="51"/>
      <c r="BE86" s="70" t="e">
        <f t="shared" ca="1" si="43"/>
        <v>#NAME?</v>
      </c>
      <c r="BG86" s="67" t="e">
        <f ca="1">_xll.GetCtData("CO-AMOUNT","CONS-AMOUNT",$A$1:$A$4,$A86:$B86,BG$5:BG$10,"#")</f>
        <v>#NAME?</v>
      </c>
      <c r="BH86" s="51"/>
      <c r="BI86" s="69" t="e">
        <f ca="1">_xll.GetCtData("CO-AMOUNT","CONS-AMOUNT",$A$1:$A$4,$A86:$B86,BI$5:BI$10,"#")</f>
        <v>#NAME?</v>
      </c>
      <c r="BJ86" s="51"/>
      <c r="BK86" s="70" t="e">
        <f t="shared" ca="1" si="36"/>
        <v>#NAME?</v>
      </c>
      <c r="BL86" s="53"/>
      <c r="BN86" s="67" t="e">
        <f ca="1">_xll.GetCtData("CO-AMOUNT","CONS-AMOUNT",$A$1:$A$4,$A86:$B86,BN$5:BN$10,"#")</f>
        <v>#NAME?</v>
      </c>
      <c r="BO86" s="51"/>
      <c r="BP86" s="69" t="e">
        <f ca="1">_xll.GetCtData("CO-AMOUNT","CONS-AMOUNT",$A$1:$A$4,$A86:$B86,BP$5:BP$10,"#")</f>
        <v>#NAME?</v>
      </c>
      <c r="BQ86" s="51"/>
      <c r="BR86" s="70" t="e">
        <f t="shared" ca="1" si="37"/>
        <v>#NAME?</v>
      </c>
      <c r="BS86" s="53"/>
    </row>
    <row r="87" spans="1:71" s="44" customFormat="1" outlineLevel="1">
      <c r="A87" s="65" t="s">
        <v>350</v>
      </c>
      <c r="B87" s="65" t="s">
        <v>337</v>
      </c>
      <c r="C87" s="65" t="s">
        <v>262</v>
      </c>
      <c r="D87" s="130" t="str">
        <f>CHOOSE([6]Traduction!$A$2,[6]Traduction!$A92,[6]Traduction!$B92)</f>
        <v>Internal SLA Reinvoicings</v>
      </c>
      <c r="E87" s="67" t="e">
        <f ca="1">_xll.GetCtData("CO-AMOUNT","CONS-AMOUNT",$A$1:$A$4,$A87:$B87,E$5:E$10,"#")</f>
        <v>#NAME?</v>
      </c>
      <c r="F87" s="68"/>
      <c r="G87" s="69" t="e">
        <f ca="1">_xll.GetCtData("CO-AMOUNT","CONS-AMOUNT",$A$1:$A$4,$A87:$B87,G$5:G$10,"#")</f>
        <v>#NAME?</v>
      </c>
      <c r="H87" s="68"/>
      <c r="I87" s="70" t="e">
        <f t="shared" ca="1" si="38"/>
        <v>#NAME?</v>
      </c>
      <c r="J87" s="71"/>
      <c r="K87" s="67" t="e">
        <f ca="1">_xll.GetCtData("CO-AMOUNT","CONS-AMOUNT",$A$1:$A$4,$A87:$B87,K$5:K$10,"#584,54")</f>
        <v>#NAME?</v>
      </c>
      <c r="L87" s="68"/>
      <c r="M87" s="69" t="e">
        <f ca="1">_xll.GetCtData("CO-AMOUNT","CONS-AMOUNT",$A$1:$A$4,$A87:$B87,M$5:M$10,"#576,947")</f>
        <v>#NAME?</v>
      </c>
      <c r="N87" s="51"/>
      <c r="O87" s="70" t="e">
        <f t="shared" ca="1" si="39"/>
        <v>#NAME?</v>
      </c>
      <c r="P87" s="53"/>
      <c r="Q87" s="67" t="e">
        <f ca="1">_xll.GetCtData("CO-AMOUNT","CONS-AMOUNT",$A$1:$A$4,$A87:$B87,Q$5:Q$10,"#584,54")</f>
        <v>#NAME?</v>
      </c>
      <c r="R87" s="51"/>
      <c r="S87" s="69" t="e">
        <f ca="1">_xll.GetCtData("CO-AMOUNT","CONS-AMOUNT",$A$1:$A$4,$A87:$B87,S$5:S$10,"#576,947")</f>
        <v>#NAME?</v>
      </c>
      <c r="T87" s="51"/>
      <c r="U87" s="70" t="e">
        <f t="shared" ca="1" si="40"/>
        <v>#NAME?</v>
      </c>
      <c r="V87" s="25"/>
      <c r="W87" s="67" t="e">
        <f ca="1">_xll.GetCtData("CO-AMOUNT","CONS-AMOUNT",$A$1:$A$4,$A87:$B87,W$5:W$10,"#584,54")</f>
        <v>#NAME?</v>
      </c>
      <c r="X87" s="51"/>
      <c r="Y87" s="69" t="e">
        <f ca="1">_xll.GetCtData("CO-AMOUNT","CONS-AMOUNT",$A$1:$A$4,$A87:$B87,Y$5:Y$10,"#769,27")</f>
        <v>#NAME?</v>
      </c>
      <c r="Z87" s="51"/>
      <c r="AA87" s="70" t="e">
        <f t="shared" ca="1" si="44"/>
        <v>#NAME?</v>
      </c>
      <c r="AB87" s="53"/>
      <c r="AC87" s="67" t="e">
        <f ca="1">_xll.GetCtData("CO-AMOUNT","CONS-AMOUNT",$A$1:$A$4,$A87:$B87,AC$5:AC$10,"#")</f>
        <v>#NAME?</v>
      </c>
      <c r="AD87" s="51"/>
      <c r="AE87" s="69" t="e">
        <f ca="1">_xll.GetCtData("CO-AMOUNT","CONS-AMOUNT",$A$1:$A$4,$A87:$B87,AE$5:AE$10,"#")</f>
        <v>#NAME?</v>
      </c>
      <c r="AF87" s="51"/>
      <c r="AG87" s="70" t="e">
        <f t="shared" ca="1" si="45"/>
        <v>#NAME?</v>
      </c>
      <c r="AH87" s="53"/>
      <c r="AI87" s="67" t="e">
        <f ca="1">_xll.GetCtData("CO-AMOUNT","CONS-AMOUNT",$A$1:$A$4,$A87:$B87,AI$5:AI$10,"#")</f>
        <v>#NAME?</v>
      </c>
      <c r="AJ87" s="51"/>
      <c r="AK87" s="69" t="e">
        <f ca="1">_xll.GetCtData("CO-AMOUNT","CONS-AMOUNT",$A$1:$A$4,$A87:$B87,AK$5:AK$10,"#")</f>
        <v>#NAME?</v>
      </c>
      <c r="AL87" s="51"/>
      <c r="AM87" s="70" t="e">
        <f t="shared" ca="1" si="46"/>
        <v>#NAME?</v>
      </c>
      <c r="AN87" s="53"/>
      <c r="AO87" s="67" t="e">
        <f ca="1">_xll.GetCtData("CO-AMOUNT","CONS-AMOUNT",$A$1:$A$4,$A87:$B87,AO$5:AO$10,"#")</f>
        <v>#NAME?</v>
      </c>
      <c r="AP87" s="51"/>
      <c r="AQ87" s="69" t="e">
        <f ca="1">_xll.GetCtData("CO-AMOUNT","CONS-AMOUNT",$A$1:$A$4,$A87:$B87,AQ$5:AQ$10,"#")</f>
        <v>#NAME?</v>
      </c>
      <c r="AR87" s="51"/>
      <c r="AS87" s="70" t="e">
        <f t="shared" ca="1" si="47"/>
        <v>#NAME?</v>
      </c>
      <c r="AT87" s="53"/>
      <c r="AU87" s="67" t="e">
        <f t="shared" ca="1" si="41"/>
        <v>#NAME?</v>
      </c>
      <c r="AV87" s="51"/>
      <c r="AW87" s="69" t="e">
        <f t="shared" ca="1" si="42"/>
        <v>#NAME?</v>
      </c>
      <c r="AX87" s="51"/>
      <c r="AY87" s="70" t="e">
        <f t="shared" ca="1" si="48"/>
        <v>#NAME?</v>
      </c>
      <c r="BA87" s="67" t="e">
        <f t="shared" ca="1" si="32"/>
        <v>#NAME?</v>
      </c>
      <c r="BB87" s="51"/>
      <c r="BC87" s="69" t="e">
        <f t="shared" ca="1" si="33"/>
        <v>#NAME?</v>
      </c>
      <c r="BD87" s="51"/>
      <c r="BE87" s="70" t="e">
        <f t="shared" ca="1" si="43"/>
        <v>#NAME?</v>
      </c>
      <c r="BG87" s="67" t="e">
        <f ca="1">_xll.GetCtData("CO-AMOUNT","CONS-AMOUNT",$A$1:$A$4,$A87:$B87,BG$5:BG$10,"#")</f>
        <v>#NAME?</v>
      </c>
      <c r="BH87" s="51"/>
      <c r="BI87" s="69" t="e">
        <f ca="1">_xll.GetCtData("CO-AMOUNT","CONS-AMOUNT",$A$1:$A$4,$A87:$B87,BI$5:BI$10,"#")</f>
        <v>#NAME?</v>
      </c>
      <c r="BJ87" s="51"/>
      <c r="BK87" s="70" t="e">
        <f t="shared" ca="1" si="36"/>
        <v>#NAME?</v>
      </c>
      <c r="BL87" s="53"/>
      <c r="BN87" s="67" t="e">
        <f ca="1">_xll.GetCtData("CO-AMOUNT","CONS-AMOUNT",$A$1:$A$4,$A87:$B87,BN$5:BN$10,"#")</f>
        <v>#NAME?</v>
      </c>
      <c r="BO87" s="51"/>
      <c r="BP87" s="69" t="e">
        <f ca="1">_xll.GetCtData("CO-AMOUNT","CONS-AMOUNT",$A$1:$A$4,$A87:$B87,BP$5:BP$10,"#")</f>
        <v>#NAME?</v>
      </c>
      <c r="BQ87" s="51"/>
      <c r="BR87" s="70" t="e">
        <f t="shared" ca="1" si="37"/>
        <v>#NAME?</v>
      </c>
      <c r="BS87" s="53"/>
    </row>
    <row r="88" spans="1:71" s="44" customFormat="1">
      <c r="A88" s="65"/>
      <c r="B88" s="65"/>
      <c r="C88" s="65"/>
      <c r="D88" s="86" t="s">
        <v>351</v>
      </c>
      <c r="E88" s="87" t="e">
        <f ca="1">E89+E90</f>
        <v>#NAME?</v>
      </c>
      <c r="F88" s="47"/>
      <c r="G88" s="88" t="e">
        <f ca="1">G89+G90</f>
        <v>#NAME?</v>
      </c>
      <c r="H88" s="47" t="e">
        <f>H89+H90+#REF!</f>
        <v>#REF!</v>
      </c>
      <c r="I88" s="89" t="e">
        <f t="shared" ca="1" si="38"/>
        <v>#NAME?</v>
      </c>
      <c r="K88" s="87" t="e">
        <f ca="1">K89+K90</f>
        <v>#NAME?</v>
      </c>
      <c r="L88" s="47"/>
      <c r="M88" s="88" t="e">
        <f ca="1">M89+M90</f>
        <v>#NAME?</v>
      </c>
      <c r="N88" s="51" t="e">
        <f>N89+N90+#REF!</f>
        <v>#REF!</v>
      </c>
      <c r="O88" s="52" t="e">
        <f t="shared" ca="1" si="39"/>
        <v>#NAME?</v>
      </c>
      <c r="P88" s="53"/>
      <c r="Q88" s="87" t="e">
        <f ca="1">Q89+Q90</f>
        <v>#NAME?</v>
      </c>
      <c r="R88" s="47"/>
      <c r="S88" s="88" t="e">
        <f ca="1">S89+S90</f>
        <v>#NAME?</v>
      </c>
      <c r="T88" s="51" t="e">
        <f>T89+T90+#REF!</f>
        <v>#REF!</v>
      </c>
      <c r="U88" s="89" t="e">
        <f t="shared" ca="1" si="40"/>
        <v>#NAME?</v>
      </c>
      <c r="V88" s="25"/>
      <c r="W88" s="87" t="e">
        <f ca="1">W89+W90</f>
        <v>#NAME?</v>
      </c>
      <c r="X88" s="47"/>
      <c r="Y88" s="88" t="e">
        <f ca="1">Y89+Y90</f>
        <v>#NAME?</v>
      </c>
      <c r="Z88" s="51" t="e">
        <f>Z89+Z90+#REF!</f>
        <v>#REF!</v>
      </c>
      <c r="AA88" s="89" t="e">
        <f t="shared" ca="1" si="44"/>
        <v>#NAME?</v>
      </c>
      <c r="AB88" s="53"/>
      <c r="AC88" s="87" t="e">
        <f ca="1">AC89+AC90</f>
        <v>#NAME?</v>
      </c>
      <c r="AD88" s="47"/>
      <c r="AE88" s="88" t="e">
        <f ca="1">AE89+AE90</f>
        <v>#NAME?</v>
      </c>
      <c r="AF88" s="51" t="e">
        <f>AF89+AF90+#REF!</f>
        <v>#REF!</v>
      </c>
      <c r="AG88" s="89" t="e">
        <f t="shared" ca="1" si="45"/>
        <v>#NAME?</v>
      </c>
      <c r="AH88" s="53"/>
      <c r="AI88" s="87" t="e">
        <f ca="1">AI89+AI90</f>
        <v>#NAME?</v>
      </c>
      <c r="AJ88" s="47"/>
      <c r="AK88" s="88" t="e">
        <f ca="1">AK89+AK90</f>
        <v>#NAME?</v>
      </c>
      <c r="AL88" s="51" t="e">
        <f>AL89+AL90+#REF!</f>
        <v>#REF!</v>
      </c>
      <c r="AM88" s="89" t="e">
        <f t="shared" ca="1" si="46"/>
        <v>#NAME?</v>
      </c>
      <c r="AN88" s="53"/>
      <c r="AO88" s="87" t="e">
        <f ca="1">AO89+AO90</f>
        <v>#NAME?</v>
      </c>
      <c r="AP88" s="47"/>
      <c r="AQ88" s="88" t="e">
        <f ca="1">AQ89+AQ90</f>
        <v>#NAME?</v>
      </c>
      <c r="AR88" s="51" t="e">
        <f>AR89+AR90+#REF!</f>
        <v>#REF!</v>
      </c>
      <c r="AS88" s="89" t="e">
        <f t="shared" ca="1" si="47"/>
        <v>#NAME?</v>
      </c>
      <c r="AT88" s="53"/>
      <c r="AU88" s="87" t="e">
        <f t="shared" ca="1" si="41"/>
        <v>#NAME?</v>
      </c>
      <c r="AV88" s="47"/>
      <c r="AW88" s="88" t="e">
        <f t="shared" ca="1" si="42"/>
        <v>#NAME?</v>
      </c>
      <c r="AX88" s="51" t="e">
        <f>AX89+AX90+#REF!</f>
        <v>#REF!</v>
      </c>
      <c r="AY88" s="89" t="e">
        <f t="shared" ca="1" si="48"/>
        <v>#NAME?</v>
      </c>
      <c r="BA88" s="87" t="e">
        <f t="shared" ca="1" si="32"/>
        <v>#NAME?</v>
      </c>
      <c r="BB88" s="47"/>
      <c r="BC88" s="88" t="e">
        <f t="shared" ca="1" si="33"/>
        <v>#NAME?</v>
      </c>
      <c r="BD88" s="51"/>
      <c r="BE88" s="70" t="e">
        <f t="shared" ca="1" si="43"/>
        <v>#NAME?</v>
      </c>
      <c r="BG88" s="87" t="e">
        <f ca="1">BG89+BG90</f>
        <v>#NAME?</v>
      </c>
      <c r="BH88" s="47"/>
      <c r="BI88" s="88" t="e">
        <f ca="1">BI89+BI90</f>
        <v>#NAME?</v>
      </c>
      <c r="BJ88" s="51" t="e">
        <f>BJ89+BJ90+#REF!</f>
        <v>#REF!</v>
      </c>
      <c r="BK88" s="89" t="e">
        <f t="shared" ca="1" si="36"/>
        <v>#NAME?</v>
      </c>
      <c r="BL88" s="53"/>
      <c r="BN88" s="87" t="e">
        <f ca="1">BN89+BN90</f>
        <v>#NAME?</v>
      </c>
      <c r="BO88" s="47"/>
      <c r="BP88" s="88" t="e">
        <f ca="1">BP89+BP90</f>
        <v>#NAME?</v>
      </c>
      <c r="BQ88" s="51" t="e">
        <f>BQ89+BQ90+#REF!</f>
        <v>#REF!</v>
      </c>
      <c r="BR88" s="89" t="e">
        <f t="shared" ca="1" si="37"/>
        <v>#NAME?</v>
      </c>
      <c r="BS88" s="53"/>
    </row>
    <row r="89" spans="1:71" s="44" customFormat="1" outlineLevel="1">
      <c r="A89" s="65" t="s">
        <v>352</v>
      </c>
      <c r="B89" s="65" t="s">
        <v>337</v>
      </c>
      <c r="C89" s="65" t="s">
        <v>262</v>
      </c>
      <c r="D89" s="130" t="s">
        <v>353</v>
      </c>
      <c r="E89" s="67" t="e">
        <f ca="1">_xll.GetCtData("CO-AMOUNT","CONS-AMOUNT",$A$1:$A$4,$A89:$B89,E$5:E$10,"#1729,95")</f>
        <v>#NAME?</v>
      </c>
      <c r="F89" s="68"/>
      <c r="G89" s="69" t="e">
        <f ca="1">_xll.GetCtData("CO-AMOUNT","CONS-AMOUNT",$A$1:$A$4,$A89:$B89,G$5:G$10,"#2120,306")</f>
        <v>#NAME?</v>
      </c>
      <c r="H89" s="68"/>
      <c r="I89" s="70" t="e">
        <f t="shared" ca="1" si="38"/>
        <v>#NAME?</v>
      </c>
      <c r="J89" s="71"/>
      <c r="K89" s="67" t="e">
        <f ca="1">_xll.GetCtData("CO-AMOUNT","CONS-AMOUNT",$A$1:$A$4,$A89:$B89,K$5:K$10,"#-10933,496")</f>
        <v>#NAME?</v>
      </c>
      <c r="L89" s="68"/>
      <c r="M89" s="69" t="e">
        <f ca="1">_xll.GetCtData("CO-AMOUNT","CONS-AMOUNT",$A$1:$A$4,$A89:$B89,M$5:M$10,"#-13297,949")</f>
        <v>#NAME?</v>
      </c>
      <c r="N89" s="51"/>
      <c r="O89" s="70" t="e">
        <f t="shared" ca="1" si="39"/>
        <v>#NAME?</v>
      </c>
      <c r="P89" s="53"/>
      <c r="Q89" s="67" t="e">
        <f ca="1">_xll.GetCtData("CO-AMOUNT","CONS-AMOUNT",$A$1:$A$4,$A89:$B89,Q$5:Q$10,"#-9203,54600000001")</f>
        <v>#NAME?</v>
      </c>
      <c r="R89" s="51"/>
      <c r="S89" s="69" t="e">
        <f ca="1">_xll.GetCtData("CO-AMOUNT","CONS-AMOUNT",$A$1:$A$4,$A89:$B89,S$5:S$10,"#-11177,643")</f>
        <v>#NAME?</v>
      </c>
      <c r="T89" s="51"/>
      <c r="U89" s="70" t="e">
        <f t="shared" ca="1" si="40"/>
        <v>#NAME?</v>
      </c>
      <c r="V89" s="25"/>
      <c r="W89" s="67" t="e">
        <f ca="1">_xll.GetCtData("CO-AMOUNT","CONS-AMOUNT",$A$1:$A$4,$A89:$B89,W$5:W$10,"#")</f>
        <v>#NAME?</v>
      </c>
      <c r="X89" s="51"/>
      <c r="Y89" s="69" t="e">
        <f ca="1">_xll.GetCtData("CO-AMOUNT","CONS-AMOUNT",$A$1:$A$4,$A89:$B89,Y$5:Y$10,"#")</f>
        <v>#NAME?</v>
      </c>
      <c r="Z89" s="51"/>
      <c r="AA89" s="70" t="e">
        <f t="shared" ca="1" si="44"/>
        <v>#NAME?</v>
      </c>
      <c r="AB89" s="53"/>
      <c r="AC89" s="67" t="e">
        <f ca="1">_xll.GetCtData("CO-AMOUNT","CONS-AMOUNT",$A$1:$A$4,$A89:$B89,AC$5:AC$10,"#")</f>
        <v>#NAME?</v>
      </c>
      <c r="AD89" s="51"/>
      <c r="AE89" s="69" t="e">
        <f ca="1">_xll.GetCtData("CO-AMOUNT","CONS-AMOUNT",$A$1:$A$4,$A89:$B89,AE$5:AE$10,"#")</f>
        <v>#NAME?</v>
      </c>
      <c r="AF89" s="51"/>
      <c r="AG89" s="70" t="e">
        <f t="shared" ca="1" si="45"/>
        <v>#NAME?</v>
      </c>
      <c r="AH89" s="53"/>
      <c r="AI89" s="67" t="e">
        <f ca="1">_xll.GetCtData("CO-AMOUNT","CONS-AMOUNT",$A$1:$A$4,$A89:$B89,AI$5:AI$10,"#")</f>
        <v>#NAME?</v>
      </c>
      <c r="AJ89" s="51"/>
      <c r="AK89" s="69" t="e">
        <f ca="1">_xll.GetCtData("CO-AMOUNT","CONS-AMOUNT",$A$1:$A$4,$A89:$B89,AK$5:AK$10,"#")</f>
        <v>#NAME?</v>
      </c>
      <c r="AL89" s="51"/>
      <c r="AM89" s="70" t="e">
        <f t="shared" ca="1" si="46"/>
        <v>#NAME?</v>
      </c>
      <c r="AN89" s="53"/>
      <c r="AO89" s="67" t="e">
        <f ca="1">_xll.GetCtData("CO-AMOUNT","CONS-AMOUNT",$A$1:$A$4,$A89:$B89,AO$5:AO$10,"#15234,97")</f>
        <v>#NAME?</v>
      </c>
      <c r="AP89" s="51"/>
      <c r="AQ89" s="69" t="e">
        <f ca="1">_xll.GetCtData("CO-AMOUNT","CONS-AMOUNT",$A$1:$A$4,$A89:$B89,AQ$5:AQ$10,"#16287,64")</f>
        <v>#NAME?</v>
      </c>
      <c r="AR89" s="51"/>
      <c r="AS89" s="70" t="e">
        <f t="shared" ca="1" si="47"/>
        <v>#NAME?</v>
      </c>
      <c r="AT89" s="53"/>
      <c r="AU89" s="67" t="e">
        <f t="shared" ca="1" si="41"/>
        <v>#NAME?</v>
      </c>
      <c r="AV89" s="51"/>
      <c r="AW89" s="69" t="e">
        <f t="shared" ca="1" si="42"/>
        <v>#NAME?</v>
      </c>
      <c r="AX89" s="51"/>
      <c r="AY89" s="70" t="e">
        <f t="shared" ca="1" si="48"/>
        <v>#NAME?</v>
      </c>
      <c r="BA89" s="67" t="e">
        <f t="shared" ca="1" si="32"/>
        <v>#NAME?</v>
      </c>
      <c r="BB89" s="51"/>
      <c r="BC89" s="69" t="e">
        <f t="shared" ca="1" si="33"/>
        <v>#NAME?</v>
      </c>
      <c r="BD89" s="51"/>
      <c r="BE89" s="70" t="e">
        <f t="shared" ca="1" si="43"/>
        <v>#NAME?</v>
      </c>
      <c r="BG89" s="67" t="e">
        <f ca="1">_xll.GetCtData("CO-AMOUNT","CONS-AMOUNT",$A$1:$A$4,$A89:$B89,BG$5:BG$10,"#16425,92")</f>
        <v>#NAME?</v>
      </c>
      <c r="BH89" s="51"/>
      <c r="BI89" s="69" t="e">
        <f ca="1">_xll.GetCtData("CO-AMOUNT","CONS-AMOUNT",$A$1:$A$4,$A89:$B89,BI$5:BI$10,"#17469")</f>
        <v>#NAME?</v>
      </c>
      <c r="BJ89" s="51"/>
      <c r="BK89" s="70" t="e">
        <f t="shared" ca="1" si="36"/>
        <v>#NAME?</v>
      </c>
      <c r="BL89" s="53"/>
      <c r="BN89" s="67" t="e">
        <f ca="1">_xll.GetCtData("CO-AMOUNT","CONS-AMOUNT",$A$1:$A$4,$A89:$B89,BN$5:BN$10,"#-1190,95")</f>
        <v>#NAME?</v>
      </c>
      <c r="BO89" s="51"/>
      <c r="BP89" s="69" t="e">
        <f ca="1">_xll.GetCtData("CO-AMOUNT","CONS-AMOUNT",$A$1:$A$4,$A89:$B89,BP$5:BP$10,"#-1181,36")</f>
        <v>#NAME?</v>
      </c>
      <c r="BQ89" s="51"/>
      <c r="BR89" s="70" t="e">
        <f t="shared" ca="1" si="37"/>
        <v>#NAME?</v>
      </c>
      <c r="BS89" s="53"/>
    </row>
    <row r="90" spans="1:71" s="44" customFormat="1" outlineLevel="1">
      <c r="A90" s="65"/>
      <c r="B90" s="65"/>
      <c r="C90" s="65" t="s">
        <v>354</v>
      </c>
      <c r="D90" s="97" t="str">
        <f>CHOOSE([6]Traduction!$A$2,[6]Traduction!$A83,[6]Traduction!$B83)</f>
        <v>Reprocessing accounting carto BCESTE</v>
      </c>
      <c r="E90" s="87"/>
      <c r="F90" s="47"/>
      <c r="G90" s="88"/>
      <c r="H90" s="47"/>
      <c r="I90" s="70">
        <f t="shared" si="38"/>
        <v>0</v>
      </c>
      <c r="K90" s="67">
        <f>+[6]BCESTE!F17</f>
        <v>6783.9279999999999</v>
      </c>
      <c r="L90" s="68"/>
      <c r="M90" s="69">
        <f>+[6]BCESTE!G17</f>
        <v>6783.9279999999999</v>
      </c>
      <c r="N90" s="51"/>
      <c r="O90" s="70">
        <f t="shared" si="39"/>
        <v>0</v>
      </c>
      <c r="P90" s="53"/>
      <c r="Q90" s="67">
        <f>+[6]BCESTE!F17</f>
        <v>6783.9279999999999</v>
      </c>
      <c r="R90" s="51"/>
      <c r="S90" s="69">
        <f>+[6]BCESTE!G17</f>
        <v>6783.9279999999999</v>
      </c>
      <c r="T90" s="51"/>
      <c r="U90" s="70">
        <f t="shared" si="40"/>
        <v>0</v>
      </c>
      <c r="V90" s="25"/>
      <c r="W90" s="67"/>
      <c r="X90" s="51"/>
      <c r="Y90" s="69"/>
      <c r="Z90" s="51"/>
      <c r="AA90" s="70">
        <f t="shared" si="44"/>
        <v>0</v>
      </c>
      <c r="AB90" s="53"/>
      <c r="AC90" s="67"/>
      <c r="AD90" s="51"/>
      <c r="AE90" s="69"/>
      <c r="AF90" s="51"/>
      <c r="AG90" s="70">
        <f t="shared" si="45"/>
        <v>0</v>
      </c>
      <c r="AH90" s="53"/>
      <c r="AI90" s="67"/>
      <c r="AJ90" s="51"/>
      <c r="AK90" s="69"/>
      <c r="AL90" s="51"/>
      <c r="AM90" s="70">
        <f t="shared" si="46"/>
        <v>0</v>
      </c>
      <c r="AN90" s="53"/>
      <c r="AO90" s="67"/>
      <c r="AP90" s="51"/>
      <c r="AQ90" s="69"/>
      <c r="AR90" s="51"/>
      <c r="AS90" s="70">
        <f t="shared" si="47"/>
        <v>0</v>
      </c>
      <c r="AT90" s="53"/>
      <c r="AU90" s="67">
        <f t="shared" si="41"/>
        <v>0</v>
      </c>
      <c r="AV90" s="51"/>
      <c r="AW90" s="69">
        <f t="shared" si="42"/>
        <v>0</v>
      </c>
      <c r="AX90" s="51"/>
      <c r="AY90" s="70">
        <f t="shared" si="48"/>
        <v>0</v>
      </c>
      <c r="BA90" s="67">
        <f t="shared" si="32"/>
        <v>6783.9279999999999</v>
      </c>
      <c r="BB90" s="51"/>
      <c r="BC90" s="69">
        <f t="shared" si="33"/>
        <v>6783.9279999999999</v>
      </c>
      <c r="BD90" s="51"/>
      <c r="BE90" s="70">
        <f t="shared" si="43"/>
        <v>0</v>
      </c>
      <c r="BG90" s="67"/>
      <c r="BH90" s="51"/>
      <c r="BI90" s="69"/>
      <c r="BJ90" s="51"/>
      <c r="BK90" s="70">
        <f t="shared" si="36"/>
        <v>0</v>
      </c>
      <c r="BL90" s="53"/>
      <c r="BN90" s="67"/>
      <c r="BO90" s="51"/>
      <c r="BP90" s="69"/>
      <c r="BQ90" s="51"/>
      <c r="BR90" s="70">
        <f t="shared" si="37"/>
        <v>0</v>
      </c>
      <c r="BS90" s="53"/>
    </row>
    <row r="91" spans="1:71" s="44" customFormat="1" outlineLevel="1" collapsed="1">
      <c r="A91" s="65" t="s">
        <v>355</v>
      </c>
      <c r="B91" s="65" t="s">
        <v>277</v>
      </c>
      <c r="C91" s="65" t="s">
        <v>278</v>
      </c>
      <c r="D91" s="86" t="str">
        <f>CHOOSE([6]Traduction!$A$2,[6]Traduction!$A85,[6]Traduction!$B85)</f>
        <v>Holding Italy</v>
      </c>
      <c r="E91" s="87" t="e">
        <f ca="1">_xll.GetCtData("CO-AMOUNT","CONS-AMOUNT",$A$1:$A$4,$A91:$B91,E$5:E$10,"#")</f>
        <v>#NAME?</v>
      </c>
      <c r="F91" s="47"/>
      <c r="G91" s="88" t="e">
        <f ca="1">_xll.GetCtData("CO-AMOUNT","CONS-AMOUNT",$A$1:$A$4,$A91:$B91,G$5:G$10,"#")</f>
        <v>#NAME?</v>
      </c>
      <c r="H91" s="47"/>
      <c r="I91" s="89" t="e">
        <f t="shared" ca="1" si="38"/>
        <v>#NAME?</v>
      </c>
      <c r="K91" s="87" t="e">
        <f ca="1">_xll.GetCtData("CO-AMOUNT","CONS-AMOUNT",$A$1:$A$4,$A91:$B91,K$5:K$10,"#100,984")</f>
        <v>#NAME?</v>
      </c>
      <c r="L91" s="47"/>
      <c r="M91" s="88" t="e">
        <f ca="1">_xll.GetCtData("CO-AMOUNT","CONS-AMOUNT",$A$1:$A$4,$A91:$B91,M$5:M$10,"#97,056")</f>
        <v>#NAME?</v>
      </c>
      <c r="N91" s="51"/>
      <c r="O91" s="52" t="e">
        <f t="shared" ca="1" si="39"/>
        <v>#NAME?</v>
      </c>
      <c r="P91" s="53"/>
      <c r="Q91" s="87" t="e">
        <f ca="1">_xll.GetCtData("CO-AMOUNT","CONS-AMOUNT",$A$1:$A$4,$A91:$B91,Q$5:Q$10,"#100,984")</f>
        <v>#NAME?</v>
      </c>
      <c r="R91" s="51"/>
      <c r="S91" s="88" t="e">
        <f ca="1">_xll.GetCtData("CO-AMOUNT","CONS-AMOUNT",$A$1:$A$4,$A91:$B91,S$5:S$10,"#97,056")</f>
        <v>#NAME?</v>
      </c>
      <c r="T91" s="51"/>
      <c r="U91" s="89" t="e">
        <f t="shared" ca="1" si="40"/>
        <v>#NAME?</v>
      </c>
      <c r="V91" s="25"/>
      <c r="W91" s="87" t="e">
        <f ca="1">_xll.GetCtData("CO-AMOUNT","CONS-AMOUNT",$A$1:$A$4,$A91:$B91,X$5:X$10,"#")</f>
        <v>#NAME?</v>
      </c>
      <c r="X91" s="51"/>
      <c r="Y91" s="88" t="e">
        <f ca="1">_xll.GetCtData("CO-AMOUNT","CONS-AMOUNT",$A$1:$A$4,$A91:$B91,Z$5:Z$10,"#")</f>
        <v>#NAME?</v>
      </c>
      <c r="Z91" s="51"/>
      <c r="AA91" s="89" t="e">
        <f t="shared" ca="1" si="44"/>
        <v>#NAME?</v>
      </c>
      <c r="AB91" s="53"/>
      <c r="AC91" s="87" t="e">
        <f ca="1">_xll.GetCtData("CO-AMOUNT","CONS-AMOUNT",$A$1:$A$4,$A91:$B91,AD$5:AD$10,"#")</f>
        <v>#NAME?</v>
      </c>
      <c r="AD91" s="51"/>
      <c r="AE91" s="88" t="e">
        <f ca="1">_xll.GetCtData("CO-AMOUNT","CONS-AMOUNT",$A$1:$A$4,$A91:$B91,AF$5:AF$10,"#")</f>
        <v>#NAME?</v>
      </c>
      <c r="AF91" s="51"/>
      <c r="AG91" s="89" t="e">
        <f t="shared" ca="1" si="45"/>
        <v>#NAME?</v>
      </c>
      <c r="AH91" s="53"/>
      <c r="AI91" s="87" t="e">
        <f ca="1">_xll.GetCtData("CO-AMOUNT","CONS-AMOUNT",$A$1:$A$4,$A91:$B91,AJ$5:AJ$10,"#")</f>
        <v>#NAME?</v>
      </c>
      <c r="AJ91" s="51"/>
      <c r="AK91" s="88" t="e">
        <f ca="1">_xll.GetCtData("CO-AMOUNT","CONS-AMOUNT",$A$1:$A$4,$A91:$B91,AL$5:AL$10,"#")</f>
        <v>#NAME?</v>
      </c>
      <c r="AL91" s="51"/>
      <c r="AM91" s="89" t="e">
        <f t="shared" ca="1" si="46"/>
        <v>#NAME?</v>
      </c>
      <c r="AN91" s="53"/>
      <c r="AO91" s="87" t="e">
        <f ca="1">_xll.GetCtData("CO-AMOUNT","CONS-AMOUNT",$A$1:$A$4,$A91:$B91,AP$5:AP$10,"#")</f>
        <v>#NAME?</v>
      </c>
      <c r="AP91" s="51"/>
      <c r="AQ91" s="88" t="e">
        <f ca="1">_xll.GetCtData("CO-AMOUNT","CONS-AMOUNT",$A$1:$A$4,$A91:$B91,AR$5:AR$10,"#")</f>
        <v>#NAME?</v>
      </c>
      <c r="AR91" s="51"/>
      <c r="AS91" s="89" t="e">
        <f t="shared" ca="1" si="47"/>
        <v>#NAME?</v>
      </c>
      <c r="AT91" s="53"/>
      <c r="AU91" s="87" t="e">
        <f t="shared" ca="1" si="41"/>
        <v>#NAME?</v>
      </c>
      <c r="AV91" s="51"/>
      <c r="AW91" s="88" t="e">
        <f t="shared" ca="1" si="42"/>
        <v>#NAME?</v>
      </c>
      <c r="AX91" s="51"/>
      <c r="AY91" s="89" t="e">
        <f t="shared" ca="1" si="48"/>
        <v>#NAME?</v>
      </c>
      <c r="BA91" s="87" t="e">
        <f t="shared" ca="1" si="32"/>
        <v>#NAME?</v>
      </c>
      <c r="BB91" s="51"/>
      <c r="BC91" s="88" t="e">
        <f t="shared" ca="1" si="33"/>
        <v>#NAME?</v>
      </c>
      <c r="BD91" s="51"/>
      <c r="BE91" s="89" t="e">
        <f t="shared" ca="1" si="43"/>
        <v>#NAME?</v>
      </c>
      <c r="BG91" s="87" t="e">
        <f ca="1">_xll.GetCtData("CO-AMOUNT","CONS-AMOUNT",$A$1:$A$4,$A91:$B91,BH$5:BH$10,"#La dimension AC (Rubrique) doit être initialisée")</f>
        <v>#NAME?</v>
      </c>
      <c r="BH91" s="51"/>
      <c r="BI91" s="88" t="e">
        <f ca="1">_xll.GetCtData("CO-AMOUNT","CONS-AMOUNT",$A$1:$A$4,$A91:$B91,BJ$5:BJ$10,"#La dimension AC (Rubrique) doit être initialisée")</f>
        <v>#NAME?</v>
      </c>
      <c r="BJ91" s="51"/>
      <c r="BK91" s="89" t="e">
        <f t="shared" ca="1" si="36"/>
        <v>#NAME?</v>
      </c>
      <c r="BL91" s="53"/>
      <c r="BN91" s="87" t="e">
        <f ca="1">_xll.GetCtData("CO-AMOUNT","CONS-AMOUNT",$A$1:$A$4,$A91:$B91,BO$5:BO$10,"#")</f>
        <v>#NAME?</v>
      </c>
      <c r="BO91" s="51"/>
      <c r="BP91" s="88" t="e">
        <f ca="1">_xll.GetCtData("CO-AMOUNT","CONS-AMOUNT",$A$1:$A$4,$A91:$B91,BQ$5:BQ$10,"#")</f>
        <v>#NAME?</v>
      </c>
      <c r="BQ91" s="51"/>
      <c r="BR91" s="89" t="e">
        <f t="shared" ca="1" si="37"/>
        <v>#NAME?</v>
      </c>
      <c r="BS91" s="53"/>
    </row>
    <row r="92" spans="1:71" s="65" customFormat="1" outlineLevel="1" collapsed="1">
      <c r="A92" s="65" t="s">
        <v>356</v>
      </c>
      <c r="B92" s="65" t="s">
        <v>264</v>
      </c>
      <c r="C92" s="65" t="s">
        <v>262</v>
      </c>
      <c r="D92" s="86" t="s">
        <v>357</v>
      </c>
      <c r="E92" s="87" t="e">
        <f ca="1">_xll.GetCtData("CO-AMOUNT","CONS-AMOUNT",$A$1:$A$4,$A92:$B92,E$5:E$10,"#")</f>
        <v>#NAME?</v>
      </c>
      <c r="F92" s="47"/>
      <c r="G92" s="88" t="e">
        <f ca="1">_xll.GetCtData("CO-AMOUNT","CONS-AMOUNT",$A$1:$A$4,$A92:$B92,G$5:G$10,"#")</f>
        <v>#NAME?</v>
      </c>
      <c r="H92" s="47"/>
      <c r="I92" s="89" t="e">
        <f t="shared" ca="1" si="38"/>
        <v>#NAME?</v>
      </c>
      <c r="J92" s="44"/>
      <c r="K92" s="87" t="e">
        <f ca="1">_xll.GetCtData("CO-AMOUNT","CONS-AMOUNT",$A$1:$A$4,$A92:$B92,K$5:K$10,"#")</f>
        <v>#NAME?</v>
      </c>
      <c r="L92" s="47"/>
      <c r="M92" s="88" t="e">
        <f ca="1">_xll.GetCtData("CO-AMOUNT","CONS-AMOUNT",$A$1:$A$4,$A92:$B92,M$5:M$10,"#")</f>
        <v>#NAME?</v>
      </c>
      <c r="N92" s="51"/>
      <c r="O92" s="52" t="e">
        <f t="shared" ca="1" si="39"/>
        <v>#NAME?</v>
      </c>
      <c r="P92" s="53"/>
      <c r="Q92" s="87" t="e">
        <f ca="1">_xll.GetCtData("CO-AMOUNT","CONS-AMOUNT",$A$1:$A$4,$A92:$B92,Q$5:Q$10,"#")</f>
        <v>#NAME?</v>
      </c>
      <c r="R92" s="51"/>
      <c r="S92" s="88" t="e">
        <f ca="1">_xll.GetCtData("CO-AMOUNT","CONS-AMOUNT",$A$1:$A$4,$A92:$B92,S$5:S$10,"#")</f>
        <v>#NAME?</v>
      </c>
      <c r="T92" s="51"/>
      <c r="U92" s="89" t="e">
        <f t="shared" ca="1" si="40"/>
        <v>#NAME?</v>
      </c>
      <c r="V92" s="25"/>
      <c r="W92" s="87" t="e">
        <f ca="1">_xll.GetCtData("CO-AMOUNT","CONS-AMOUNT",$A$1:$A$4,$A92:$B92,W$5:W$10,"#")</f>
        <v>#NAME?</v>
      </c>
      <c r="X92" s="51"/>
      <c r="Y92" s="88" t="e">
        <f ca="1">_xll.GetCtData("CO-AMOUNT","CONS-AMOUNT",$A$1:$A$4,$A92:$B92,Y$5:Y$10,"#")</f>
        <v>#NAME?</v>
      </c>
      <c r="Z92" s="51"/>
      <c r="AA92" s="89" t="e">
        <f ca="1">W92-Y92</f>
        <v>#NAME?</v>
      </c>
      <c r="AB92" s="53"/>
      <c r="AC92" s="87" t="e">
        <f ca="1">_xll.GetCtData("CO-AMOUNT","CONS-AMOUNT",$A$1:$A$4,$A92:$B92,AC$5:AC$10,"#")</f>
        <v>#NAME?</v>
      </c>
      <c r="AD92" s="51"/>
      <c r="AE92" s="88" t="e">
        <f ca="1">_xll.GetCtData("CO-AMOUNT","CONS-AMOUNT",$A$1:$A$4,$A92:$B92,AE$5:AE$10,"#")</f>
        <v>#NAME?</v>
      </c>
      <c r="AF92" s="51"/>
      <c r="AG92" s="89" t="e">
        <f ca="1">AC92-AE92</f>
        <v>#NAME?</v>
      </c>
      <c r="AH92" s="53"/>
      <c r="AI92" s="87" t="e">
        <f ca="1">_xll.GetCtData("CO-AMOUNT","CONS-AMOUNT",$A$1:$A$4,$A92:$B92,AI$5:AI$10,"#")</f>
        <v>#NAME?</v>
      </c>
      <c r="AJ92" s="51"/>
      <c r="AK92" s="88" t="e">
        <f ca="1">_xll.GetCtData("CO-AMOUNT","CONS-AMOUNT",$A$1:$A$4,$A92:$B92,AK$5:AK$10,"#")</f>
        <v>#NAME?</v>
      </c>
      <c r="AL92" s="51"/>
      <c r="AM92" s="89" t="e">
        <f ca="1">AI92-AK92</f>
        <v>#NAME?</v>
      </c>
      <c r="AN92" s="53"/>
      <c r="AO92" s="87" t="e">
        <f ca="1">_xll.GetCtData("CO-AMOUNT","CONS-AMOUNT",$A$1:$A$4,$A92:$B92,AO$5:AO$10,"#")</f>
        <v>#NAME?</v>
      </c>
      <c r="AP92" s="51"/>
      <c r="AQ92" s="88" t="e">
        <f ca="1">_xll.GetCtData("CO-AMOUNT","CONS-AMOUNT",$A$1:$A$4,$A92:$B92,AQ$5:AQ$10,"#")</f>
        <v>#NAME?</v>
      </c>
      <c r="AR92" s="51"/>
      <c r="AS92" s="89" t="e">
        <f ca="1">AO92-AQ92</f>
        <v>#NAME?</v>
      </c>
      <c r="AT92" s="53"/>
      <c r="AU92" s="87" t="e">
        <f t="shared" ca="1" si="41"/>
        <v>#NAME?</v>
      </c>
      <c r="AV92" s="51"/>
      <c r="AW92" s="88" t="e">
        <f t="shared" ca="1" si="42"/>
        <v>#NAME?</v>
      </c>
      <c r="AX92" s="51"/>
      <c r="AY92" s="89" t="e">
        <f ca="1">AU92-AW92</f>
        <v>#NAME?</v>
      </c>
      <c r="AZ92" s="44"/>
      <c r="BA92" s="87" t="e">
        <f t="shared" ca="1" si="32"/>
        <v>#NAME?</v>
      </c>
      <c r="BB92" s="51"/>
      <c r="BC92" s="88" t="e">
        <f t="shared" ca="1" si="33"/>
        <v>#NAME?</v>
      </c>
      <c r="BD92" s="51"/>
      <c r="BE92" s="89" t="e">
        <f t="shared" ca="1" si="43"/>
        <v>#NAME?</v>
      </c>
      <c r="BG92" s="87" t="e">
        <f ca="1">_xll.GetCtData("CO-AMOUNT","CONS-AMOUNT",$A$1:$A$4,$A92:$B92,BG$5:BG$10,"#")</f>
        <v>#NAME?</v>
      </c>
      <c r="BH92" s="51"/>
      <c r="BI92" s="88" t="e">
        <f ca="1">_xll.GetCtData("CO-AMOUNT","CONS-AMOUNT",$A$1:$A$4,$A92:$B92,BI$5:BI$10,"#")</f>
        <v>#NAME?</v>
      </c>
      <c r="BJ92" s="51"/>
      <c r="BK92" s="89" t="e">
        <f ca="1">BG92-BI92</f>
        <v>#NAME?</v>
      </c>
      <c r="BL92" s="53"/>
      <c r="BN92" s="87" t="e">
        <f ca="1">_xll.GetCtData("CO-AMOUNT","CONS-AMOUNT",$A$1:$A$4,$A92:$B92,BN$5:BN$10,"#")</f>
        <v>#NAME?</v>
      </c>
      <c r="BO92" s="51"/>
      <c r="BP92" s="88" t="e">
        <f ca="1">_xll.GetCtData("CO-AMOUNT","CONS-AMOUNT",$A$1:$A$4,$A92:$B92,BP$5:BP$10,"#")</f>
        <v>#NAME?</v>
      </c>
      <c r="BQ92" s="51"/>
      <c r="BR92" s="89" t="e">
        <f ca="1">BN92-BP92</f>
        <v>#NAME?</v>
      </c>
      <c r="BS92" s="53"/>
    </row>
    <row r="93" spans="1:71" s="64" customFormat="1">
      <c r="A93" s="54" t="s">
        <v>358</v>
      </c>
      <c r="B93" s="55" t="s">
        <v>359</v>
      </c>
      <c r="C93" s="55" t="s">
        <v>294</v>
      </c>
      <c r="D93" s="139" t="s">
        <v>360</v>
      </c>
      <c r="E93" s="140" t="e">
        <f ca="1">_xll.GetCtData("CO-AMOUNT","CONS-AMOUNT",$A$1:$A$4,$A93:$B93,E$5:E$10,"#")</f>
        <v>#NAME?</v>
      </c>
      <c r="F93" s="58"/>
      <c r="G93" s="141" t="e">
        <f ca="1">_xll.GetCtData("CO-AMOUNT","CONS-AMOUNT",$A$1:$A$4,$A93:$B93,G$5:G$10,"#")</f>
        <v>#NAME?</v>
      </c>
      <c r="H93" s="58"/>
      <c r="I93" s="142" t="e">
        <f t="shared" ca="1" si="38"/>
        <v>#NAME?</v>
      </c>
      <c r="J93" s="91"/>
      <c r="K93" s="140" t="e">
        <f ca="1">_xll.GetCtData("CO-AMOUNT","CONS-AMOUNT",$A$1:$A$4,$A93:$B93,K$5:K$10,"#-19035")</f>
        <v>#NAME?</v>
      </c>
      <c r="L93" s="58"/>
      <c r="M93" s="141" t="e">
        <f ca="1">_xll.GetCtData("CO-AMOUNT","CONS-AMOUNT",$A$1:$A$4,$A93:$B93,M$5:M$10,"#-15071")</f>
        <v>#NAME?</v>
      </c>
      <c r="N93" s="62"/>
      <c r="O93" s="142" t="e">
        <f t="shared" ca="1" si="39"/>
        <v>#NAME?</v>
      </c>
      <c r="P93" s="63"/>
      <c r="Q93" s="140" t="e">
        <f ca="1">_xll.GetCtData("CO-AMOUNT","CONS-AMOUNT",$A$1:$A$4,$A93:$B93,Q$5:Q$10,"#-19035")</f>
        <v>#NAME?</v>
      </c>
      <c r="R93" s="62"/>
      <c r="S93" s="141" t="e">
        <f ca="1">_xll.GetCtData("CO-AMOUNT","CONS-AMOUNT",$A$1:$A$4,$A93:$B93,S$5:S$10,"#-15071")</f>
        <v>#NAME?</v>
      </c>
      <c r="T93" s="62"/>
      <c r="U93" s="142" t="e">
        <f t="shared" ca="1" si="40"/>
        <v>#NAME?</v>
      </c>
      <c r="V93" s="25"/>
      <c r="W93" s="140" t="e">
        <f ca="1">_xll.GetCtData("CO-AMOUNT","CONS-AMOUNT",$A$1:$A$4,$A93:$B93,W$5:W$10,"#")</f>
        <v>#NAME?</v>
      </c>
      <c r="X93" s="62"/>
      <c r="Y93" s="141" t="e">
        <f ca="1">_xll.GetCtData("CO-AMOUNT","CONS-AMOUNT",$A$1:$A$4,$A93:$B93,Y$5:Y$10,"#")</f>
        <v>#NAME?</v>
      </c>
      <c r="Z93" s="62"/>
      <c r="AA93" s="142" t="e">
        <f t="shared" ca="1" si="44"/>
        <v>#NAME?</v>
      </c>
      <c r="AB93" s="63"/>
      <c r="AC93" s="140" t="e">
        <f ca="1">_xll.GetCtData("CO-AMOUNT","CONS-AMOUNT",$A$1:$A$4,$A93:$B93,AC$5:AC$10,"#")</f>
        <v>#NAME?</v>
      </c>
      <c r="AD93" s="62"/>
      <c r="AE93" s="141" t="e">
        <f ca="1">_xll.GetCtData("CO-AMOUNT","CONS-AMOUNT",$A$1:$A$4,$A93:$B93,AE$5:AE$10,"#")</f>
        <v>#NAME?</v>
      </c>
      <c r="AF93" s="62"/>
      <c r="AG93" s="142" t="e">
        <f t="shared" ca="1" si="45"/>
        <v>#NAME?</v>
      </c>
      <c r="AH93" s="63"/>
      <c r="AI93" s="140" t="e">
        <f ca="1">_xll.GetCtData("CO-AMOUNT","CONS-AMOUNT",$A$1:$A$4,$A93:$B93,AI$5:AI$10,"#")</f>
        <v>#NAME?</v>
      </c>
      <c r="AJ93" s="62"/>
      <c r="AK93" s="141" t="e">
        <f ca="1">_xll.GetCtData("CO-AMOUNT","CONS-AMOUNT",$A$1:$A$4,$A93:$B93,AK$5:AK$10,"#")</f>
        <v>#NAME?</v>
      </c>
      <c r="AL93" s="62"/>
      <c r="AM93" s="142" t="e">
        <f t="shared" ca="1" si="46"/>
        <v>#NAME?</v>
      </c>
      <c r="AN93" s="63"/>
      <c r="AO93" s="140" t="e">
        <f ca="1">_xll.GetCtData("CO-AMOUNT","CONS-AMOUNT",$A$1:$A$4,$A93:$B93,AO$5:AO$10,"#")</f>
        <v>#NAME?</v>
      </c>
      <c r="AP93" s="62"/>
      <c r="AQ93" s="141" t="e">
        <f ca="1">_xll.GetCtData("CO-AMOUNT","CONS-AMOUNT",$A$1:$A$4,$A93:$B93,AQ$5:AQ$10,"#-750")</f>
        <v>#NAME?</v>
      </c>
      <c r="AR93" s="62"/>
      <c r="AS93" s="142" t="e">
        <f t="shared" ca="1" si="47"/>
        <v>#NAME?</v>
      </c>
      <c r="AT93" s="63"/>
      <c r="AU93" s="140" t="e">
        <f t="shared" ca="1" si="41"/>
        <v>#NAME?</v>
      </c>
      <c r="AV93" s="62"/>
      <c r="AW93" s="141" t="e">
        <f t="shared" ca="1" si="42"/>
        <v>#NAME?</v>
      </c>
      <c r="AX93" s="62"/>
      <c r="AY93" s="142" t="e">
        <f t="shared" ca="1" si="48"/>
        <v>#NAME?</v>
      </c>
      <c r="BA93" s="140" t="e">
        <f t="shared" ca="1" si="32"/>
        <v>#NAME?</v>
      </c>
      <c r="BB93" s="62"/>
      <c r="BC93" s="141" t="e">
        <f t="shared" ca="1" si="33"/>
        <v>#NAME?</v>
      </c>
      <c r="BD93" s="51"/>
      <c r="BE93" s="142" t="e">
        <f t="shared" ca="1" si="43"/>
        <v>#NAME?</v>
      </c>
      <c r="BG93" s="140" t="e">
        <f ca="1">_xll.GetCtData("CO-AMOUNT","CONS-AMOUNT",$A$1:$A$4,$A93:$B93,BG$5:BG$10,"#")</f>
        <v>#NAME?</v>
      </c>
      <c r="BH93" s="62"/>
      <c r="BI93" s="141" t="e">
        <f ca="1">_xll.GetCtData("CO-AMOUNT","CONS-AMOUNT",$A$1:$A$4,$A93:$B93,BI$5:BI$10,"#-750")</f>
        <v>#NAME?</v>
      </c>
      <c r="BJ93" s="62"/>
      <c r="BK93" s="142" t="e">
        <f ca="1">BG93-BI93</f>
        <v>#NAME?</v>
      </c>
      <c r="BL93" s="63"/>
      <c r="BN93" s="140" t="e">
        <f ca="1">_xll.GetCtData("CO-AMOUNT","CONS-AMOUNT",$A$1:$A$4,$A93:$B93,BN$5:BN$10,"#")</f>
        <v>#NAME?</v>
      </c>
      <c r="BO93" s="62"/>
      <c r="BP93" s="141" t="e">
        <f ca="1">_xll.GetCtData("CO-AMOUNT","CONS-AMOUNT",$A$1:$A$4,$A93:$B93,BP$5:BP$10,"#")</f>
        <v>#NAME?</v>
      </c>
      <c r="BQ93" s="62"/>
      <c r="BR93" s="142" t="e">
        <f ca="1">BN93-BP93</f>
        <v>#NAME?</v>
      </c>
      <c r="BS93" s="63"/>
    </row>
    <row r="94" spans="1:71" s="44" customFormat="1" ht="14.4" thickBot="1">
      <c r="A94" s="65" t="s">
        <v>355</v>
      </c>
      <c r="B94" s="65" t="s">
        <v>361</v>
      </c>
      <c r="C94" s="65" t="s">
        <v>362</v>
      </c>
      <c r="D94" s="86" t="str">
        <f>CHOOSE([6]Traduction!$A$2,[6]Traduction!$A87,[6]Traduction!$B87)</f>
        <v>Group Costs</v>
      </c>
      <c r="E94" s="143" t="e">
        <f ca="1">_xll.GetCtData("CO-AMOUNT","CONS-AMOUNT",$A$1:$A$4,$A94:$B94,E$4:E$9,"#-2047,644")</f>
        <v>#NAME?</v>
      </c>
      <c r="F94" s="47"/>
      <c r="G94" s="144" t="e">
        <f ca="1">_xll.GetCtData("CO-AMOUNT","CONS-AMOUNT",$A$1:$A$4,$A94:$B94,G$4:G$9,"#-1442,5")</f>
        <v>#NAME?</v>
      </c>
      <c r="H94" s="47"/>
      <c r="I94" s="145" t="e">
        <f t="shared" ca="1" si="38"/>
        <v>#NAME?</v>
      </c>
      <c r="K94" s="143" t="e">
        <f ca="1">_xll.GetCtData("CO-AMOUNT","CONS-AMOUNT",$A$1:$A$4,$A94:$B94,K$4:K$9,"#-11678,936")</f>
        <v>#NAME?</v>
      </c>
      <c r="L94" s="47"/>
      <c r="M94" s="144" t="e">
        <f ca="1">_xll.GetCtData("CO-AMOUNT","CONS-AMOUNT",$A$1:$A$4,$A94:$B94,M$4:M$9,"#-11655,902")</f>
        <v>#NAME?</v>
      </c>
      <c r="N94" s="51"/>
      <c r="O94" s="52" t="e">
        <f t="shared" ca="1" si="39"/>
        <v>#NAME?</v>
      </c>
      <c r="P94" s="63"/>
      <c r="Q94" s="143" t="e">
        <f ca="1">_xll.GetCtData("CO-AMOUNT","CONS-AMOUNT",$A$1:$A$4,$A94:$B94,Q$4:Q$9,"#-13726,58")</f>
        <v>#NAME?</v>
      </c>
      <c r="R94" s="51"/>
      <c r="S94" s="144" t="e">
        <f ca="1">_xll.GetCtData("CO-AMOUNT","CONS-AMOUNT",$A$1:$A$4,$A94:$B94,S$4:S$9,"#-13098,402")</f>
        <v>#NAME?</v>
      </c>
      <c r="T94" s="51"/>
      <c r="U94" s="145" t="e">
        <f t="shared" ca="1" si="40"/>
        <v>#NAME?</v>
      </c>
      <c r="V94" s="25"/>
      <c r="W94" s="143"/>
      <c r="X94" s="51"/>
      <c r="Y94" s="144"/>
      <c r="Z94" s="51"/>
      <c r="AA94" s="145">
        <f t="shared" si="44"/>
        <v>0</v>
      </c>
      <c r="AB94" s="63"/>
      <c r="AC94" s="143"/>
      <c r="AD94" s="51"/>
      <c r="AE94" s="144"/>
      <c r="AF94" s="51"/>
      <c r="AG94" s="145">
        <f t="shared" si="45"/>
        <v>0</v>
      </c>
      <c r="AH94" s="63"/>
      <c r="AI94" s="143"/>
      <c r="AJ94" s="51"/>
      <c r="AK94" s="144"/>
      <c r="AL94" s="51"/>
      <c r="AM94" s="145">
        <f t="shared" si="46"/>
        <v>0</v>
      </c>
      <c r="AN94" s="63"/>
      <c r="AO94" s="143"/>
      <c r="AP94" s="51"/>
      <c r="AQ94" s="144"/>
      <c r="AR94" s="51"/>
      <c r="AS94" s="145">
        <f t="shared" si="47"/>
        <v>0</v>
      </c>
      <c r="AT94" s="63"/>
      <c r="AU94" s="143">
        <f t="shared" si="41"/>
        <v>0</v>
      </c>
      <c r="AV94" s="51"/>
      <c r="AW94" s="144">
        <f t="shared" si="42"/>
        <v>0</v>
      </c>
      <c r="AX94" s="51"/>
      <c r="AY94" s="145">
        <f t="shared" si="48"/>
        <v>0</v>
      </c>
      <c r="BA94" s="143" t="e">
        <f t="shared" ca="1" si="32"/>
        <v>#NAME?</v>
      </c>
      <c r="BB94" s="51"/>
      <c r="BC94" s="144" t="e">
        <f t="shared" ca="1" si="33"/>
        <v>#NAME?</v>
      </c>
      <c r="BD94" s="51"/>
      <c r="BE94" s="145" t="e">
        <f t="shared" ca="1" si="43"/>
        <v>#NAME?</v>
      </c>
      <c r="BG94" s="143"/>
      <c r="BH94" s="51"/>
      <c r="BI94" s="144"/>
      <c r="BJ94" s="51"/>
      <c r="BK94" s="145">
        <f>BG94-BI94</f>
        <v>0</v>
      </c>
      <c r="BL94" s="63"/>
      <c r="BN94" s="143"/>
      <c r="BO94" s="51"/>
      <c r="BP94" s="144"/>
      <c r="BQ94" s="51"/>
      <c r="BR94" s="145">
        <f>BN94-BP94</f>
        <v>0</v>
      </c>
      <c r="BS94" s="63"/>
    </row>
    <row r="95" spans="1:71" s="71" customFormat="1" ht="14.4" thickBot="1">
      <c r="D95" s="146" t="s">
        <v>363</v>
      </c>
      <c r="E95" s="147" t="e">
        <f ca="1">+E94+E93+E91+E88+E69+E47+E34+E17+E83+E92</f>
        <v>#NAME?</v>
      </c>
      <c r="F95" s="148"/>
      <c r="G95" s="149" t="e">
        <f ca="1">+G94+G93+G91+G88+G69+G47+G34+G17+G83+G92</f>
        <v>#NAME?</v>
      </c>
      <c r="H95" s="148"/>
      <c r="I95" s="150" t="e">
        <f ca="1">+I94+I93+I91+I88+I69+I47+I34+I17++I83+I92</f>
        <v>#NAME?</v>
      </c>
      <c r="J95" s="44"/>
      <c r="K95" s="147" t="e">
        <f ca="1">+K94+K93+K91+K88+K69+K47+K34+K17+K83+K92</f>
        <v>#NAME?</v>
      </c>
      <c r="L95" s="148"/>
      <c r="M95" s="149" t="e">
        <f ca="1">+M94+M93+M91+M88+M69+M47+M34+M17+M83+M92</f>
        <v>#NAME?</v>
      </c>
      <c r="N95" s="151"/>
      <c r="O95" s="150" t="e">
        <f ca="1">+O94+O93+O91+O88+O69+O47+O34+O17+O83+O92</f>
        <v>#NAME?</v>
      </c>
      <c r="P95" s="63"/>
      <c r="Q95" s="147" t="e">
        <f ca="1">+Q94+Q93+Q91+Q88+Q69+Q47+Q34+Q17+Q83+Q92</f>
        <v>#NAME?</v>
      </c>
      <c r="R95" s="152" t="e">
        <f>+R94+R93+R91+R88+R69+R47+R34+#REF!+R17+#REF!+R83+R92</f>
        <v>#REF!</v>
      </c>
      <c r="S95" s="149" t="e">
        <f ca="1">+S94+S93+S91+S88+S69+S47+S34+S17+S83+S92</f>
        <v>#NAME?</v>
      </c>
      <c r="T95" s="151"/>
      <c r="U95" s="150" t="e">
        <f ca="1">+U94+U93+U91+U88+U69+U47+U34+U17+U83+U92</f>
        <v>#NAME?</v>
      </c>
      <c r="V95" s="25"/>
      <c r="W95" s="147" t="e">
        <f ca="1">+W94+W93+W91+W88+W69+W47+W34+W17+W83+W92</f>
        <v>#NAME?</v>
      </c>
      <c r="X95" s="147" t="e">
        <f>+X94+X93+X91+X88+X69+X47+X34+#REF!+X17+#REF!+X83+X92</f>
        <v>#REF!</v>
      </c>
      <c r="Y95" s="147" t="e">
        <f ca="1">+Y94+Y93+Y91+Y88+Y69+Y47+Y34+Y17+Y83+Y92</f>
        <v>#NAME?</v>
      </c>
      <c r="Z95" s="151"/>
      <c r="AA95" s="150" t="e">
        <f ca="1">+AA94+AA93+AA91+AA88+AA69+AA47+AA34+#REF!+AA17+#REF!+AA83+AA92</f>
        <v>#NAME?</v>
      </c>
      <c r="AB95" s="63"/>
      <c r="AC95" s="147" t="e">
        <f ca="1">+AC94+AC93+AC91+AC88+AC69+AC47+AC34+AC17+AC83+AC92</f>
        <v>#NAME?</v>
      </c>
      <c r="AD95" s="147" t="e">
        <f>+AD94+AD93+AD91+AD88+AD69+AD47+AD34+#REF!+AD17+#REF!+AD83+AD92</f>
        <v>#REF!</v>
      </c>
      <c r="AE95" s="147" t="e">
        <f ca="1">+AE94+AE93+AE91+AE88+AE69+AE47+AE34+AE17+AE83+AE92</f>
        <v>#NAME?</v>
      </c>
      <c r="AF95" s="151"/>
      <c r="AG95" s="150" t="e">
        <f ca="1">+AG94+AG93+AG91+AG88+AG69+AG47+AG34+#REF!+AG17+#REF!+AG83+AG92</f>
        <v>#NAME?</v>
      </c>
      <c r="AH95" s="63"/>
      <c r="AI95" s="147" t="e">
        <f ca="1">+AI94+AI93+AI91+AI88+AI69+AI47+AI34+AI17+AI83+AI92</f>
        <v>#NAME?</v>
      </c>
      <c r="AJ95" s="147" t="e">
        <f>+AJ94+AJ93+AJ91+AJ88+AJ69+AJ47+AJ34+#REF!+AJ17+#REF!+AJ83+AJ92</f>
        <v>#REF!</v>
      </c>
      <c r="AK95" s="147" t="e">
        <f ca="1">+AK94+AK93+AK91+AK88+AK69+AK47+AK34+AK17+AK83+AK92</f>
        <v>#NAME?</v>
      </c>
      <c r="AL95" s="151"/>
      <c r="AM95" s="150" t="e">
        <f ca="1">+AM94+AM93+AM91+AM88+AM69+AM47+AM34+#REF!+AM17+#REF!+AM83+AM92</f>
        <v>#NAME?</v>
      </c>
      <c r="AN95" s="63"/>
      <c r="AO95" s="147" t="e">
        <f ca="1">+AO94+AO93+AO91+AO88+AO69+AO47+AO34+AO17+AO83+AO92</f>
        <v>#NAME?</v>
      </c>
      <c r="AP95" s="147" t="e">
        <f>+AP94+AP93+AP91+AP88+AP69+AP47+AP34+#REF!+AP17+#REF!+AP83+AP92</f>
        <v>#REF!</v>
      </c>
      <c r="AQ95" s="147" t="e">
        <f ca="1">+AQ94+AQ93+AQ91+AQ88+AQ69+AQ47+AQ34+AQ17+AQ83+AQ92</f>
        <v>#NAME?</v>
      </c>
      <c r="AR95" s="151"/>
      <c r="AS95" s="150" t="e">
        <f ca="1">+AS94+AS93+AS91+AS88+AS69+AS47+AS34+#REF!+AS17+#REF!+AS83+AS92</f>
        <v>#NAME?</v>
      </c>
      <c r="AT95" s="63"/>
      <c r="AU95" s="147" t="e">
        <f t="shared" ca="1" si="41"/>
        <v>#NAME?</v>
      </c>
      <c r="AV95" s="147"/>
      <c r="AW95" s="147" t="e">
        <f t="shared" ca="1" si="42"/>
        <v>#NAME?</v>
      </c>
      <c r="AX95" s="151"/>
      <c r="AY95" s="150" t="e">
        <f ca="1">+AY94+AY93+AY91+AY88+AY69+AY47+AY34+#REF!+AY17+#REF!+AY83+AY92</f>
        <v>#NAME?</v>
      </c>
      <c r="BA95" s="147" t="e">
        <f t="shared" ca="1" si="32"/>
        <v>#NAME?</v>
      </c>
      <c r="BB95" s="151"/>
      <c r="BC95" s="149" t="e">
        <f t="shared" ca="1" si="33"/>
        <v>#NAME?</v>
      </c>
      <c r="BD95" s="51"/>
      <c r="BE95" s="150" t="e">
        <f t="shared" ca="1" si="43"/>
        <v>#NAME?</v>
      </c>
      <c r="BG95" s="147" t="e">
        <f ca="1">+BG94+BG93+BG91+BG88+BG69+BG47+BG34+#REF!+BG17+#REF!+BG83+BG92</f>
        <v>#NAME?</v>
      </c>
      <c r="BH95" s="147" t="e">
        <f>+BH94+BH93+BH91+BH88+BH69+BH47+BH34+#REF!+BH17+#REF!+BH83+BH92</f>
        <v>#REF!</v>
      </c>
      <c r="BI95" s="147" t="e">
        <f ca="1">+BI94+BI93+BI91+BI88+BI69+BI47+BI34+#REF!+BI17+#REF!+BI83+BI92</f>
        <v>#NAME?</v>
      </c>
      <c r="BJ95" s="151"/>
      <c r="BK95" s="150" t="e">
        <f ca="1">+BK94+BK93+BK91+BK88+BK69+BK47+BK34+#REF!+BK17+#REF!+BK83+BK92</f>
        <v>#NAME?</v>
      </c>
      <c r="BL95" s="63"/>
      <c r="BN95" s="147" t="e">
        <f ca="1">+BN94+BN93+BN91+BN88+BN69+BN47+BN34+#REF!+BN17+#REF!+BN83+BN92</f>
        <v>#NAME?</v>
      </c>
      <c r="BO95" s="147" t="e">
        <f>+BO94+BO93+BO91+BO88+BO69+BO47+BO34+#REF!+BO17+#REF!+BO83+BO92</f>
        <v>#REF!</v>
      </c>
      <c r="BP95" s="147" t="e">
        <f ca="1">+BP94+BP93+BP91+BP88+BP69+BP47+BP34+#REF!+BP17+#REF!+BP83+BP92</f>
        <v>#NAME?</v>
      </c>
      <c r="BQ95" s="151"/>
      <c r="BR95" s="150" t="e">
        <f ca="1">+BR94+BR93+BR91+BR88+BR69+BR47+BR34+#REF!+BR17+#REF!+BR83+BR92</f>
        <v>#NAME?</v>
      </c>
      <c r="BS95" s="63"/>
    </row>
    <row r="96" spans="1:71" s="157" customFormat="1" ht="15" customHeight="1" outlineLevel="2">
      <c r="A96" s="65" t="s">
        <v>345</v>
      </c>
      <c r="B96" s="65" t="s">
        <v>364</v>
      </c>
      <c r="C96" s="65"/>
      <c r="D96" s="153" t="s">
        <v>365</v>
      </c>
      <c r="E96" s="154" t="e">
        <f ca="1">_xll.GetCtData("CO-AMOUNT","CONS-AMOUNT",$A$1:$A$4,$A96:$B96,E$5:E$10,"#92851,3164471775")</f>
        <v>#NAME?</v>
      </c>
      <c r="F96" s="155"/>
      <c r="G96" s="154" t="e">
        <f ca="1">_xll.GetCtData("CO-AMOUNT","CONS-AMOUNT",$A$1:$A$4,$A96:$B96,G$5:G$10,"#92887,0463759191")</f>
        <v>#NAME?</v>
      </c>
      <c r="H96" s="155"/>
      <c r="I96" s="154" t="e">
        <f ca="1">E96-G96</f>
        <v>#NAME?</v>
      </c>
      <c r="J96" s="156"/>
      <c r="K96" s="154" t="e">
        <f ca="1">_xll.GetCtData("CO-AMOUNT","CONS-AMOUNT",$A$1:$A$4,$A96:$B96,K$5:K$10,"#-176532,576534489")</f>
        <v>#NAME?</v>
      </c>
      <c r="L96" s="154"/>
      <c r="M96" s="154" t="e">
        <f ca="1">_xll.GetCtData("CO-AMOUNT","CONS-AMOUNT",$A$1:$A$4,$A96:$B96,M$5:M$10,"#-178213,931441316")</f>
        <v>#NAME?</v>
      </c>
      <c r="N96" s="154"/>
      <c r="O96" s="154" t="e">
        <f ca="1">K96-M96</f>
        <v>#NAME?</v>
      </c>
      <c r="P96" s="154"/>
      <c r="Q96" s="154" t="e">
        <f ca="1">_xll.GetCtData("CO-AMOUNT","CONS-AMOUNT",$A$1:$A$4,$A96:$B96,Q$5:Q$10,"#-84377,5235658398")</f>
        <v>#NAME?</v>
      </c>
      <c r="R96" s="154"/>
      <c r="S96" s="154" t="e">
        <f ca="1">_xll.GetCtData("CO-AMOUNT","CONS-AMOUNT",$A$1:$A$4,$A96:$B96,S$5:S$10,"#-85527,6383550567")</f>
        <v>#NAME?</v>
      </c>
      <c r="T96" s="154"/>
      <c r="U96" s="154" t="e">
        <f ca="1">Q96-S96</f>
        <v>#NAME?</v>
      </c>
      <c r="V96" s="25"/>
      <c r="W96" s="154" t="e">
        <f ca="1">_xll.GetCtData("CO-AMOUNT","CONS-AMOUNT",$A$1:$A$4,$A96:$B96,W$5:W$10,"#-119,137061911572")</f>
        <v>#NAME?</v>
      </c>
      <c r="X96" s="154"/>
      <c r="Y96" s="154" t="e">
        <f ca="1">_xll.GetCtData("CO-AMOUNT","CONS-AMOUNT",$A$1:$A$4,$A96:$B96,Y$5:Y$10,"#137,488776191027")</f>
        <v>#NAME?</v>
      </c>
      <c r="Z96" s="154"/>
      <c r="AA96" s="154" t="e">
        <f ca="1">W96-Y96</f>
        <v>#NAME?</v>
      </c>
      <c r="AB96" s="154"/>
      <c r="AC96" s="154" t="e">
        <f ca="1">_xll.GetCtData("CO-AMOUNT","CONS-AMOUNT",$A$1:$A$4,$A96:$B96,AC$5:AC$10,"#22,98")</f>
        <v>#NAME?</v>
      </c>
      <c r="AD96" s="154"/>
      <c r="AE96" s="154" t="e">
        <f ca="1">_xll.GetCtData("CO-AMOUNT","CONS-AMOUNT",$A$1:$A$4,$A96:$B96,AE$5:AE$10,"#9,264")</f>
        <v>#NAME?</v>
      </c>
      <c r="AF96" s="154"/>
      <c r="AG96" s="154" t="e">
        <f ca="1">AC96-AE96</f>
        <v>#NAME?</v>
      </c>
      <c r="AH96" s="154"/>
      <c r="AI96" s="154" t="e">
        <f ca="1">_xll.GetCtData("CO-AMOUNT","CONS-AMOUNT",$A$1:$A$4,$A96:$B96,AI$5:AI$10,"#-65,1913655499593")</f>
        <v>#NAME?</v>
      </c>
      <c r="AJ96" s="154"/>
      <c r="AK96" s="154" t="e">
        <f ca="1">_xll.GetCtData("CO-AMOUNT","CONS-AMOUNT",$A$1:$A$4,$A96:$B96,AK$5:AK$10,"#385,177385203544")</f>
        <v>#NAME?</v>
      </c>
      <c r="AL96" s="154"/>
      <c r="AM96" s="154" t="e">
        <f ca="1">AI96-AK96</f>
        <v>#NAME?</v>
      </c>
      <c r="AN96" s="154"/>
      <c r="AO96" s="154" t="e">
        <f ca="1">_xll.GetCtData("CO-AMOUNT","CONS-AMOUNT",$A$1:$A$4,$A96:$B96,AO$5:AO$10,"#-12821,1653475363")-AO98</f>
        <v>#NAME?</v>
      </c>
      <c r="AP96" s="154"/>
      <c r="AQ96" s="154" t="e">
        <f ca="1">_xll.GetCtData("CO-AMOUNT","CONS-AMOUNT",$A$1:$A$4,$A96:$B96,AQ$5:AQ$10,"#-12817,7351520246")-AQ98</f>
        <v>#NAME?</v>
      </c>
      <c r="AR96" s="154"/>
      <c r="AS96" s="154" t="e">
        <f ca="1">AO96-AQ96</f>
        <v>#NAME?</v>
      </c>
      <c r="AT96" s="154"/>
      <c r="AU96" s="154"/>
      <c r="AV96" s="154"/>
      <c r="AW96" s="154"/>
      <c r="AX96" s="154"/>
      <c r="AY96" s="154"/>
      <c r="BA96" s="154"/>
      <c r="BB96" s="154"/>
      <c r="BC96" s="154"/>
      <c r="BD96" s="51"/>
      <c r="BE96" s="154"/>
      <c r="BG96" s="154" t="e">
        <f ca="1">_xll.GetCtData("CO-AMOUNT","CONS-AMOUNT",$A$1:$A$4,$A96:$B96,BG$5:BG$10,"#-6631,80636538518")-BG98</f>
        <v>#NAME?</v>
      </c>
      <c r="BH96" s="154"/>
      <c r="BI96" s="154" t="e">
        <f ca="1">_xll.GetCtData("CO-AMOUNT","CONS-AMOUNT",$A$1:$A$4,$A96:$B96,BI$5:BI$10,"#-6600,17773957915")-BI98</f>
        <v>#NAME?</v>
      </c>
      <c r="BJ96" s="154"/>
      <c r="BK96" s="154" t="e">
        <f ca="1">BG96-BI96</f>
        <v>#NAME?</v>
      </c>
      <c r="BL96" s="154"/>
      <c r="BN96" s="154" t="e">
        <f ca="1">_xll.GetCtData("CO-AMOUNT","CONS-AMOUNT",$A$1:$A$4,$A96:$B96,BN$5:BN$10,"#-6189,3589821511")-BN98</f>
        <v>#NAME?</v>
      </c>
      <c r="BO96" s="154"/>
      <c r="BP96" s="154" t="e">
        <f ca="1">_xll.GetCtData("CO-AMOUNT","CONS-AMOUNT",$A$1:$A$4,$A96:$B96,BP$5:BP$10,"#-6217,55741244546")-BP98</f>
        <v>#NAME?</v>
      </c>
      <c r="BQ96" s="154"/>
      <c r="BR96" s="154" t="e">
        <f ca="1">BN96-BP96</f>
        <v>#NAME?</v>
      </c>
      <c r="BS96" s="154"/>
    </row>
    <row r="97" spans="1:71" s="157" customFormat="1" ht="15" customHeight="1" outlineLevel="2">
      <c r="A97" s="65"/>
      <c r="B97" s="65"/>
      <c r="C97" s="65"/>
      <c r="D97" s="153" t="s">
        <v>366</v>
      </c>
      <c r="E97" s="158" t="e">
        <f ca="1">+E95-E96</f>
        <v>#NAME?</v>
      </c>
      <c r="F97" s="158"/>
      <c r="G97" s="154" t="e">
        <f ca="1">+G95-G96</f>
        <v>#NAME?</v>
      </c>
      <c r="H97" s="158"/>
      <c r="I97" s="154" t="e">
        <f ca="1">+I95-I96</f>
        <v>#NAME?</v>
      </c>
      <c r="J97" s="159"/>
      <c r="K97" s="154" t="e">
        <f ca="1">+K95-K96</f>
        <v>#NAME?</v>
      </c>
      <c r="L97" s="158"/>
      <c r="M97" s="154" t="e">
        <f ca="1">+M95-M96</f>
        <v>#NAME?</v>
      </c>
      <c r="N97" s="154"/>
      <c r="O97" s="154" t="e">
        <f ca="1">+O95-O96</f>
        <v>#NAME?</v>
      </c>
      <c r="P97" s="154"/>
      <c r="Q97" s="158" t="e">
        <f ca="1">+Q95-Q96</f>
        <v>#NAME?</v>
      </c>
      <c r="R97" s="158"/>
      <c r="S97" s="158" t="e">
        <f ca="1">+S95-S96</f>
        <v>#NAME?</v>
      </c>
      <c r="T97" s="158"/>
      <c r="U97" s="158" t="e">
        <f ca="1">+U95-U96</f>
        <v>#NAME?</v>
      </c>
      <c r="V97" s="25"/>
      <c r="W97" s="158" t="e">
        <f ca="1">+W95-W96</f>
        <v>#NAME?</v>
      </c>
      <c r="X97" s="158"/>
      <c r="Y97" s="158" t="e">
        <f ca="1">+Y95-Y96</f>
        <v>#NAME?</v>
      </c>
      <c r="Z97" s="158"/>
      <c r="AA97" s="158" t="e">
        <f ca="1">+AA95-AA96</f>
        <v>#NAME?</v>
      </c>
      <c r="AB97" s="154"/>
      <c r="AC97" s="158" t="e">
        <f ca="1">+AC95-AC96</f>
        <v>#NAME?</v>
      </c>
      <c r="AD97" s="158"/>
      <c r="AE97" s="158" t="e">
        <f ca="1">+AE95-AE96</f>
        <v>#NAME?</v>
      </c>
      <c r="AF97" s="158"/>
      <c r="AG97" s="158" t="e">
        <f ca="1">+AG95-AG96</f>
        <v>#NAME?</v>
      </c>
      <c r="AH97" s="154"/>
      <c r="AI97" s="158" t="e">
        <f ca="1">+AI95-AI96</f>
        <v>#NAME?</v>
      </c>
      <c r="AJ97" s="158"/>
      <c r="AK97" s="158" t="e">
        <f ca="1">+AK95-AK96</f>
        <v>#NAME?</v>
      </c>
      <c r="AL97" s="158"/>
      <c r="AM97" s="158" t="e">
        <f ca="1">+AM95-AM96</f>
        <v>#NAME?</v>
      </c>
      <c r="AN97" s="154"/>
      <c r="AO97" s="158" t="e">
        <f ca="1">+AO95-AO96</f>
        <v>#NAME?</v>
      </c>
      <c r="AP97" s="158"/>
      <c r="AQ97" s="158" t="e">
        <f ca="1">+AQ95-AQ96</f>
        <v>#NAME?</v>
      </c>
      <c r="AR97" s="158"/>
      <c r="AS97" s="158" t="e">
        <f ca="1">+AS95-AS96</f>
        <v>#NAME?</v>
      </c>
      <c r="AT97" s="158"/>
      <c r="AU97" s="158"/>
      <c r="AV97" s="158"/>
      <c r="AW97" s="158"/>
      <c r="AX97" s="158"/>
      <c r="AY97" s="158"/>
      <c r="BA97" s="158"/>
      <c r="BB97" s="158"/>
      <c r="BC97" s="158"/>
      <c r="BD97" s="51"/>
      <c r="BE97" s="158"/>
      <c r="BG97" s="158" t="e">
        <f ca="1">+BG95-BG96</f>
        <v>#NAME?</v>
      </c>
      <c r="BH97" s="158"/>
      <c r="BI97" s="158" t="e">
        <f ca="1">+BI95-BI96</f>
        <v>#NAME?</v>
      </c>
      <c r="BJ97" s="158"/>
      <c r="BK97" s="158" t="e">
        <f ca="1">+BK95-BK96</f>
        <v>#NAME?</v>
      </c>
      <c r="BL97" s="158"/>
      <c r="BN97" s="158" t="e">
        <f ca="1">+BN95-BN96</f>
        <v>#NAME?</v>
      </c>
      <c r="BO97" s="158"/>
      <c r="BP97" s="158" t="e">
        <f ca="1">+BP95-BP96</f>
        <v>#NAME?</v>
      </c>
      <c r="BQ97" s="158"/>
      <c r="BR97" s="158" t="e">
        <f ca="1">+BR95-BR96</f>
        <v>#NAME?</v>
      </c>
      <c r="BS97" s="158"/>
    </row>
    <row r="98" spans="1:71" s="157" customFormat="1" ht="15" customHeight="1" outlineLevel="2" thickBot="1">
      <c r="A98" s="65" t="s">
        <v>355</v>
      </c>
      <c r="B98" s="65" t="s">
        <v>367</v>
      </c>
      <c r="C98" s="65"/>
      <c r="D98" s="153" t="s">
        <v>368</v>
      </c>
      <c r="E98" s="158"/>
      <c r="F98" s="158"/>
      <c r="G98" s="158"/>
      <c r="H98" s="158"/>
      <c r="I98" s="154"/>
      <c r="J98" s="159"/>
      <c r="K98" s="154"/>
      <c r="L98" s="158"/>
      <c r="M98" s="154"/>
      <c r="N98" s="154"/>
      <c r="O98" s="154"/>
      <c r="P98" s="154"/>
      <c r="Q98" s="158"/>
      <c r="R98" s="158"/>
      <c r="S98" s="158"/>
      <c r="T98" s="158"/>
      <c r="U98" s="158"/>
      <c r="V98" s="25"/>
      <c r="W98" s="158"/>
      <c r="X98" s="158"/>
      <c r="Y98" s="158"/>
      <c r="Z98" s="158"/>
      <c r="AA98" s="158"/>
      <c r="AB98" s="154"/>
      <c r="AC98" s="158"/>
      <c r="AD98" s="158"/>
      <c r="AE98" s="158"/>
      <c r="AF98" s="158"/>
      <c r="AG98" s="158"/>
      <c r="AH98" s="154"/>
      <c r="AI98" s="158"/>
      <c r="AJ98" s="158"/>
      <c r="AK98" s="158"/>
      <c r="AL98" s="158"/>
      <c r="AM98" s="158"/>
      <c r="AN98" s="154"/>
      <c r="AO98" s="154" t="e">
        <f ca="1">_xll.GetCtData("CO-AMOUNT","CONS-AMOUNT",$A$1:$A$4,$A98:$B98,AO$5:AO$10,"#-10159,263")</f>
        <v>#NAME?</v>
      </c>
      <c r="AP98" s="154"/>
      <c r="AQ98" s="154" t="e">
        <f ca="1">_xll.GetCtData("CO-AMOUNT","CONS-AMOUNT",$A$1:$A$4,$A98:$B98,AQ$5:AQ$10,"#-10159,263")</f>
        <v>#NAME?</v>
      </c>
      <c r="AR98" s="154"/>
      <c r="AS98" s="154" t="e">
        <f ca="1">+AS96-AS97</f>
        <v>#NAME?</v>
      </c>
      <c r="AT98" s="160"/>
      <c r="AU98" s="158"/>
      <c r="AV98" s="158"/>
      <c r="AW98" s="158"/>
      <c r="AX98" s="158"/>
      <c r="AY98" s="158"/>
      <c r="BA98" s="160"/>
      <c r="BB98" s="160"/>
      <c r="BC98" s="160"/>
      <c r="BD98" s="51"/>
      <c r="BE98" s="161"/>
      <c r="BG98" s="154" t="e">
        <f ca="1">_xll.GetCtData("CO-AMOUNT","CONS-AMOUNT",$A$1:$A$4,$A98:$B98,BG$5:BG$10,"#-6648,763")</f>
        <v>#NAME?</v>
      </c>
      <c r="BH98" s="154"/>
      <c r="BI98" s="154" t="e">
        <f ca="1">_xll.GetCtData("CO-AMOUNT","CONS-AMOUNT",$A$1:$A$4,$A98:$B98,BI$5:BI$10,"#-6648,763")</f>
        <v>#NAME?</v>
      </c>
      <c r="BJ98" s="154"/>
      <c r="BK98" s="154" t="e">
        <f ca="1">+BK96-BK97</f>
        <v>#NAME?</v>
      </c>
      <c r="BL98" s="160"/>
      <c r="BN98" s="154" t="e">
        <f ca="1">_xll.GetCtData("CO-AMOUNT","CONS-AMOUNT",$A$1:$A$4,$A98:$B98,BN$5:BN$10,"#-3510,5")</f>
        <v>#NAME?</v>
      </c>
      <c r="BO98" s="154"/>
      <c r="BP98" s="154" t="e">
        <f ca="1">_xll.GetCtData("CO-AMOUNT","CONS-AMOUNT",$A$1:$A$4,$A98:$B98,BP$5:BP$10,"#-3510,5")</f>
        <v>#NAME?</v>
      </c>
      <c r="BQ98" s="154"/>
      <c r="BR98" s="154" t="e">
        <f ca="1">+BR96-BR97</f>
        <v>#NAME?</v>
      </c>
      <c r="BS98" s="160"/>
    </row>
    <row r="99" spans="1:71" s="71" customFormat="1" ht="14.4" outlineLevel="1" thickBot="1">
      <c r="D99" s="162" t="s">
        <v>369</v>
      </c>
      <c r="E99" s="163">
        <v>0</v>
      </c>
      <c r="F99" s="164"/>
      <c r="G99" s="163"/>
      <c r="H99" s="164"/>
      <c r="I99" s="165">
        <f t="shared" ref="I99:I121" si="49">E99-G99</f>
        <v>0</v>
      </c>
      <c r="K99" s="163">
        <v>0</v>
      </c>
      <c r="L99" s="164"/>
      <c r="M99" s="163"/>
      <c r="N99" s="166"/>
      <c r="O99" s="165">
        <f>K99-M99</f>
        <v>0</v>
      </c>
      <c r="P99" s="63"/>
      <c r="Q99" s="163">
        <f>+E99+K99</f>
        <v>0</v>
      </c>
      <c r="R99" s="163"/>
      <c r="S99" s="163"/>
      <c r="T99" s="166"/>
      <c r="U99" s="165">
        <f>Q99-S99</f>
        <v>0</v>
      </c>
      <c r="V99" s="25"/>
      <c r="W99" s="163"/>
      <c r="X99" s="163"/>
      <c r="Y99" s="163"/>
      <c r="Z99" s="166"/>
      <c r="AA99" s="165"/>
      <c r="AB99" s="167"/>
      <c r="AC99" s="163"/>
      <c r="AD99" s="163"/>
      <c r="AE99" s="163"/>
      <c r="AF99" s="166"/>
      <c r="AG99" s="165"/>
      <c r="AH99" s="167"/>
      <c r="AI99" s="163"/>
      <c r="AJ99" s="163"/>
      <c r="AK99" s="163"/>
      <c r="AL99" s="166"/>
      <c r="AM99" s="165"/>
      <c r="AN99" s="167"/>
      <c r="AO99" s="163" t="e">
        <f ca="1">AO97</f>
        <v>#NAME?</v>
      </c>
      <c r="AP99" s="163"/>
      <c r="AQ99" s="163"/>
      <c r="AR99" s="166"/>
      <c r="AS99" s="165"/>
      <c r="AT99" s="63"/>
      <c r="AU99" s="163"/>
      <c r="AV99" s="163"/>
      <c r="AW99" s="163"/>
      <c r="AX99" s="166"/>
      <c r="AY99" s="165"/>
      <c r="AZ99" s="168"/>
      <c r="BA99" s="163"/>
      <c r="BB99" s="166"/>
      <c r="BC99" s="169"/>
      <c r="BD99" s="51"/>
      <c r="BE99" s="165">
        <f>+U99</f>
        <v>0</v>
      </c>
      <c r="BG99" s="163" t="e">
        <f ca="1">BG97</f>
        <v>#NAME?</v>
      </c>
      <c r="BH99" s="163"/>
      <c r="BI99" s="163"/>
      <c r="BJ99" s="166"/>
      <c r="BK99" s="165"/>
      <c r="BL99" s="63"/>
      <c r="BN99" s="163" t="e">
        <f ca="1">BN97</f>
        <v>#NAME?</v>
      </c>
      <c r="BO99" s="163"/>
      <c r="BP99" s="163"/>
      <c r="BQ99" s="166"/>
      <c r="BR99" s="165"/>
      <c r="BS99" s="63"/>
    </row>
    <row r="100" spans="1:71" s="17" customFormat="1" ht="48.75" customHeight="1" outlineLevel="3">
      <c r="D100" s="170" t="s">
        <v>370</v>
      </c>
      <c r="E100" s="171" t="str">
        <f>E14</f>
        <v>Actual Q1 2026</v>
      </c>
      <c r="F100" s="172"/>
      <c r="G100" s="173" t="str">
        <f>G14</f>
        <v>Estimate March Q1 2026</v>
      </c>
      <c r="H100" s="172"/>
      <c r="I100" s="174" t="str">
        <f>I14</f>
        <v>Variances</v>
      </c>
      <c r="J100" s="175"/>
      <c r="K100" s="171" t="str">
        <f>K14</f>
        <v>Actual Q1 2026</v>
      </c>
      <c r="L100" s="172"/>
      <c r="M100" s="176" t="str">
        <f>M14</f>
        <v>Estimate March Q1 2026</v>
      </c>
      <c r="N100" s="177"/>
      <c r="O100" s="174" t="str">
        <f>O14</f>
        <v>Variances</v>
      </c>
      <c r="P100" s="43"/>
      <c r="Q100" s="171" t="str">
        <f>Q14</f>
        <v>Actual Q1 2026</v>
      </c>
      <c r="R100" s="172"/>
      <c r="S100" s="173" t="str">
        <f>S14</f>
        <v>Estimate March Q1 2026</v>
      </c>
      <c r="T100" s="177"/>
      <c r="U100" s="174" t="str">
        <f>O100</f>
        <v>Variances</v>
      </c>
      <c r="V100" s="25"/>
      <c r="W100" s="171" t="str">
        <f>W14</f>
        <v>Actual Q1 2026</v>
      </c>
      <c r="X100" s="172"/>
      <c r="Y100" s="173" t="str">
        <f>Y14</f>
        <v>Estimate March Q1 2026</v>
      </c>
      <c r="Z100" s="177"/>
      <c r="AA100" s="174">
        <f>V100</f>
        <v>0</v>
      </c>
      <c r="AB100" s="43"/>
      <c r="AC100" s="171" t="str">
        <f>AC14</f>
        <v>Actual Q1 2026</v>
      </c>
      <c r="AD100" s="172"/>
      <c r="AE100" s="173" t="str">
        <f>AE14</f>
        <v>Estimate March Q1 2026</v>
      </c>
      <c r="AF100" s="177"/>
      <c r="AG100" s="174">
        <f>AA100</f>
        <v>0</v>
      </c>
      <c r="AH100" s="43"/>
      <c r="AI100" s="171" t="str">
        <f>AI14</f>
        <v>Actual Q1 2026</v>
      </c>
      <c r="AJ100" s="172"/>
      <c r="AK100" s="173" t="str">
        <f>AK14</f>
        <v>Estimate March Q1 2026</v>
      </c>
      <c r="AL100" s="177"/>
      <c r="AM100" s="174">
        <f>AG100</f>
        <v>0</v>
      </c>
      <c r="AN100" s="43"/>
      <c r="AO100" s="171" t="str">
        <f>AO14</f>
        <v>Actual Q1 2026</v>
      </c>
      <c r="AP100" s="172"/>
      <c r="AQ100" s="173" t="str">
        <f>AQ14</f>
        <v>Estimate March Q1 2026</v>
      </c>
      <c r="AR100" s="177"/>
      <c r="AS100" s="174">
        <f>AM100</f>
        <v>0</v>
      </c>
      <c r="AT100" s="43"/>
      <c r="AU100" s="171" t="str">
        <f>AU14</f>
        <v>Actual Q1 2026</v>
      </c>
      <c r="AV100" s="172"/>
      <c r="AW100" s="173" t="str">
        <f>AW14</f>
        <v>Estimate March Q1 2026</v>
      </c>
      <c r="AX100" s="177"/>
      <c r="AY100" s="174">
        <f>AS100</f>
        <v>0</v>
      </c>
      <c r="BA100" s="171" t="str">
        <f>BA14</f>
        <v>Actual Q1 2026</v>
      </c>
      <c r="BB100" s="172"/>
      <c r="BC100" s="173" t="str">
        <f>BC14</f>
        <v>Estimate March Q1 2026</v>
      </c>
      <c r="BD100" s="51"/>
      <c r="BE100" s="174" t="str">
        <f>BE14</f>
        <v xml:space="preserve">Variances excl. Management Fees and equivalent </v>
      </c>
      <c r="BG100" s="171" t="str">
        <f>BG14</f>
        <v>Actual Q1 2026</v>
      </c>
      <c r="BH100" s="172"/>
      <c r="BI100" s="173" t="str">
        <f>BI14</f>
        <v>Estimate March Q1 2026</v>
      </c>
      <c r="BJ100" s="177"/>
      <c r="BK100" s="174" t="str">
        <f>BE100</f>
        <v xml:space="preserve">Variances excl. Management Fees and equivalent </v>
      </c>
      <c r="BL100" s="43"/>
      <c r="BN100" s="171">
        <f>BN14</f>
        <v>0</v>
      </c>
      <c r="BO100" s="172"/>
      <c r="BP100" s="173">
        <f>BP14</f>
        <v>0</v>
      </c>
      <c r="BQ100" s="177"/>
      <c r="BR100" s="174">
        <f>BL100</f>
        <v>0</v>
      </c>
      <c r="BS100" s="43"/>
    </row>
    <row r="101" spans="1:71" s="17" customFormat="1" outlineLevel="3">
      <c r="D101" s="178" t="s">
        <v>105</v>
      </c>
      <c r="E101" s="179" t="e">
        <f ca="1">E19+E33+E37+E55+E67+E68+E71+E72+E89+E92</f>
        <v>#NAME?</v>
      </c>
      <c r="F101" s="51"/>
      <c r="G101" s="180" t="e">
        <f ca="1">G19+G33+G37+G55+G67+G68+G71+G72+G89+G92</f>
        <v>#NAME?</v>
      </c>
      <c r="H101" s="51" t="e">
        <f>H19+#REF!+H37+#REF!+H55+H71+H72+H88+#REF!-#REF!+H36</f>
        <v>#REF!</v>
      </c>
      <c r="I101" s="181" t="e">
        <f t="shared" ca="1" si="49"/>
        <v>#NAME?</v>
      </c>
      <c r="J101" s="175"/>
      <c r="K101" s="179" t="e">
        <f ca="1">K19+K33+K37+K55+K67+K68+K71+K72+K89+K92</f>
        <v>#NAME?</v>
      </c>
      <c r="L101" s="51"/>
      <c r="M101" s="180" t="e">
        <f ca="1">M19+M33+M37+M55+M67+M68+M71+M72+M89+M92</f>
        <v>#NAME?</v>
      </c>
      <c r="N101" s="182"/>
      <c r="O101" s="181" t="e">
        <f t="shared" ref="O101:O117" ca="1" si="50">K101-M101</f>
        <v>#NAME?</v>
      </c>
      <c r="P101" s="53"/>
      <c r="Q101" s="179" t="e">
        <f ca="1">Q19+Q33+Q37+Q55+Q67+Q68+Q71+Q72+Q89+Q92</f>
        <v>#NAME?</v>
      </c>
      <c r="R101" s="51"/>
      <c r="S101" s="180" t="e">
        <f ca="1">S19+S33+S37+S55+S67+S68+S71+S72+S89+S92</f>
        <v>#NAME?</v>
      </c>
      <c r="T101" s="182"/>
      <c r="U101" s="181" t="e">
        <f t="shared" ref="U101:U117" ca="1" si="51">Q101-S101</f>
        <v>#NAME?</v>
      </c>
      <c r="V101" s="25"/>
      <c r="W101" s="179" t="e">
        <f ca="1">W19+#REF!+W33+#REF!+#REF!+W37+W55+W67+W68+W71+W72+W89+#REF!+W92</f>
        <v>#NAME?</v>
      </c>
      <c r="X101" s="51"/>
      <c r="Y101" s="180" t="e">
        <f ca="1">Y19+#REF!+Y33+#REF!+#REF!+Y37+Y55+Y67+Y68+Y71+Y72+Y89+#REF!+Y92</f>
        <v>#NAME?</v>
      </c>
      <c r="Z101" s="182"/>
      <c r="AA101" s="181" t="e">
        <f t="shared" ref="AA101:AA117" ca="1" si="52">W101-Y101</f>
        <v>#NAME?</v>
      </c>
      <c r="AB101" s="53"/>
      <c r="AC101" s="179" t="e">
        <f ca="1">AC19+#REF!+AC33+#REF!+#REF!+AC37+AC55+AC67+AC68+AC71+AC72+AC89+#REF!+AC92</f>
        <v>#NAME?</v>
      </c>
      <c r="AD101" s="51"/>
      <c r="AE101" s="180" t="e">
        <f ca="1">AE19+#REF!+AE33+#REF!+#REF!+AE37+AE55+AE67+AE68+AE71+AE72+AE89+#REF!+AE92</f>
        <v>#NAME?</v>
      </c>
      <c r="AF101" s="182"/>
      <c r="AG101" s="181" t="e">
        <f t="shared" ref="AG101:AG117" ca="1" si="53">AC101-AE101</f>
        <v>#NAME?</v>
      </c>
      <c r="AH101" s="53"/>
      <c r="AI101" s="179" t="e">
        <f ca="1">AI19+#REF!+AI33+#REF!+#REF!+AI37+AI55+AI67+AI68+AI71+AI72+AI89+#REF!+AI92+AI87</f>
        <v>#NAME?</v>
      </c>
      <c r="AJ101" s="51"/>
      <c r="AK101" s="180" t="e">
        <f ca="1">AK19+#REF!+AK33+#REF!+#REF!+AK37+AK55+AK67+AK68+AK71+AK72+AK89+#REF!+AK92+AK87</f>
        <v>#NAME?</v>
      </c>
      <c r="AL101" s="182"/>
      <c r="AM101" s="181" t="e">
        <f t="shared" ref="AM101:AM117" ca="1" si="54">AI101-AK101</f>
        <v>#NAME?</v>
      </c>
      <c r="AN101" s="53"/>
      <c r="AO101" s="179" t="e">
        <f ca="1">AO19+#REF!+AO33+#REF!+#REF!+AO37+AO55+AO67+AO68+AO71+AO72+AO89+#REF!+AO92+AO87</f>
        <v>#NAME?</v>
      </c>
      <c r="AP101" s="51"/>
      <c r="AQ101" s="180" t="e">
        <f ca="1">AQ19+#REF!+AQ33+#REF!+#REF!+AQ37+AQ55+AQ67+AQ68+AQ71+AQ72+AQ89+#REF!+AQ92+AQ87</f>
        <v>#NAME?</v>
      </c>
      <c r="AR101" s="182"/>
      <c r="AS101" s="181" t="e">
        <f t="shared" ref="AS101:AS117" ca="1" si="55">AO101-AQ101</f>
        <v>#NAME?</v>
      </c>
      <c r="AT101" s="53"/>
      <c r="AU101" s="179" t="e">
        <f ca="1">AU19+#REF!+AU33+#REF!+#REF!+AU37+AU55+AU67+AU68+AU71+AU72+AU89+#REF!+AU92+AU87</f>
        <v>#NAME?</v>
      </c>
      <c r="AV101" s="51"/>
      <c r="AW101" s="180" t="e">
        <f ca="1">AW19+#REF!+AW33+#REF!+#REF!+AW37+AW55+AW67+AW68+AW71+AW72+AW89+#REF!+AW92+AW87</f>
        <v>#NAME?</v>
      </c>
      <c r="AX101" s="182"/>
      <c r="AY101" s="181" t="e">
        <f t="shared" ref="AY101:AY117" ca="1" si="56">AU101-AW101</f>
        <v>#NAME?</v>
      </c>
      <c r="BA101" s="179" t="e">
        <f ca="1">BA19+#REF!+BA33+#REF!+#REF!+BA37+BA55+BA67+BA68+BA71+BA72+BA89+#REF!+BA92</f>
        <v>#NAME?</v>
      </c>
      <c r="BB101" s="51"/>
      <c r="BC101" s="179" t="e">
        <f ca="1">BC19+#REF!+BC33+#REF!+#REF!+BC37+BC55+BC67+BC68+BC71+BC72+BC89+#REF!+BC92</f>
        <v>#NAME?</v>
      </c>
      <c r="BD101" s="51"/>
      <c r="BE101" s="181" t="e">
        <f ca="1">BA101-BC101</f>
        <v>#NAME?</v>
      </c>
      <c r="BG101" s="179" t="e">
        <f ca="1">BG19+#REF!+BG33+#REF!+#REF!+BG37+BG55+BG67+BG68+BG71+BG72+BG89+#REF!+BG92+BG87</f>
        <v>#NAME?</v>
      </c>
      <c r="BH101" s="51"/>
      <c r="BI101" s="180" t="e">
        <f ca="1">BI19+#REF!+BI33+#REF!+#REF!+BI37+BI55+BI67+BI68+BI71+BI72+BI89+#REF!+BI92+BI87</f>
        <v>#NAME?</v>
      </c>
      <c r="BJ101" s="182"/>
      <c r="BK101" s="181" t="e">
        <f t="shared" ref="BK101:BK117" ca="1" si="57">BG101-BI101</f>
        <v>#NAME?</v>
      </c>
      <c r="BL101" s="53"/>
      <c r="BM101" s="183"/>
      <c r="BN101" s="179" t="e">
        <f ca="1">BN19+#REF!+BN33+#REF!+#REF!+BN37+BN55+BN67+BN68+BN71+BN72+BN89+#REF!+BN92+BN87</f>
        <v>#NAME?</v>
      </c>
      <c r="BO101" s="51"/>
      <c r="BP101" s="180" t="e">
        <f ca="1">BP19+#REF!+BP33+#REF!+#REF!+BP37+BP55+BP67+BP68+BP71+BP72+BP89+#REF!+BP92+BP87</f>
        <v>#NAME?</v>
      </c>
      <c r="BQ101" s="182"/>
      <c r="BR101" s="181" t="e">
        <f t="shared" ref="BR101:BR117" ca="1" si="58">BN101-BP101</f>
        <v>#NAME?</v>
      </c>
      <c r="BS101" s="53"/>
    </row>
    <row r="102" spans="1:71" s="17" customFormat="1" outlineLevel="3">
      <c r="D102" s="184" t="s">
        <v>103</v>
      </c>
      <c r="E102" s="67" t="e">
        <f ca="1">E30+E43+E49+E74</f>
        <v>#NAME?</v>
      </c>
      <c r="F102" s="51"/>
      <c r="G102" s="69" t="e">
        <f ca="1">G30+G43+G49+G74</f>
        <v>#NAME?</v>
      </c>
      <c r="H102" s="51"/>
      <c r="I102" s="70" t="e">
        <f t="shared" ca="1" si="49"/>
        <v>#NAME?</v>
      </c>
      <c r="J102" s="175"/>
      <c r="K102" s="67" t="e">
        <f ca="1">K30+K43+K49+K74</f>
        <v>#NAME?</v>
      </c>
      <c r="L102" s="51"/>
      <c r="M102" s="69" t="e">
        <f ca="1">M30+M43+M49+M74</f>
        <v>#NAME?</v>
      </c>
      <c r="N102" s="185"/>
      <c r="O102" s="70" t="e">
        <f t="shared" ca="1" si="50"/>
        <v>#NAME?</v>
      </c>
      <c r="P102" s="53"/>
      <c r="Q102" s="67" t="e">
        <f ca="1">Q30+Q43+Q49+Q74</f>
        <v>#NAME?</v>
      </c>
      <c r="R102" s="51"/>
      <c r="S102" s="69" t="e">
        <f ca="1">S30+S43+S49+S74</f>
        <v>#NAME?</v>
      </c>
      <c r="T102" s="185"/>
      <c r="U102" s="70" t="e">
        <f t="shared" ca="1" si="51"/>
        <v>#NAME?</v>
      </c>
      <c r="V102" s="25"/>
      <c r="W102" s="67" t="e">
        <f ca="1">W30+W43+W49+W74</f>
        <v>#NAME?</v>
      </c>
      <c r="X102" s="51"/>
      <c r="Y102" s="69" t="e">
        <f ca="1">Y30+Y43+Y49+Y74</f>
        <v>#NAME?</v>
      </c>
      <c r="Z102" s="185"/>
      <c r="AA102" s="70" t="e">
        <f t="shared" ca="1" si="52"/>
        <v>#NAME?</v>
      </c>
      <c r="AB102" s="53"/>
      <c r="AC102" s="67" t="e">
        <f ca="1">AC30+AC43+AC49+AC74</f>
        <v>#NAME?</v>
      </c>
      <c r="AD102" s="51"/>
      <c r="AE102" s="69" t="e">
        <f ca="1">AE30+AE43+AE49+AE74</f>
        <v>#NAME?</v>
      </c>
      <c r="AF102" s="185"/>
      <c r="AG102" s="70" t="e">
        <f t="shared" ca="1" si="53"/>
        <v>#NAME?</v>
      </c>
      <c r="AH102" s="53"/>
      <c r="AI102" s="67" t="e">
        <f ca="1">AI30+AI43+AI49+AI74</f>
        <v>#NAME?</v>
      </c>
      <c r="AJ102" s="51"/>
      <c r="AK102" s="69" t="e">
        <f ca="1">AK30+AK43+AK49+AK74</f>
        <v>#NAME?</v>
      </c>
      <c r="AL102" s="185"/>
      <c r="AM102" s="70" t="e">
        <f t="shared" ca="1" si="54"/>
        <v>#NAME?</v>
      </c>
      <c r="AN102" s="53"/>
      <c r="AO102" s="67" t="e">
        <f ca="1">AO30+AO43+AO49+AO74</f>
        <v>#NAME?</v>
      </c>
      <c r="AP102" s="51"/>
      <c r="AQ102" s="69" t="e">
        <f ca="1">AQ30+AQ43+AQ49+AQ74</f>
        <v>#NAME?</v>
      </c>
      <c r="AR102" s="185"/>
      <c r="AS102" s="70" t="e">
        <f t="shared" ca="1" si="55"/>
        <v>#NAME?</v>
      </c>
      <c r="AT102" s="53"/>
      <c r="AU102" s="67" t="e">
        <f ca="1">AU30+AU43+AU49+AU74</f>
        <v>#NAME?</v>
      </c>
      <c r="AV102" s="51"/>
      <c r="AW102" s="69" t="e">
        <f ca="1">AW30+AW43+AW49+AW74</f>
        <v>#NAME?</v>
      </c>
      <c r="AX102" s="185"/>
      <c r="AY102" s="70" t="e">
        <f t="shared" ca="1" si="56"/>
        <v>#NAME?</v>
      </c>
      <c r="BA102" s="67" t="e">
        <f ca="1">BA30+BA43+BA49+BA74</f>
        <v>#NAME?</v>
      </c>
      <c r="BB102" s="51"/>
      <c r="BC102" s="69" t="e">
        <f ca="1">BC30+BC43+BC49+BC74</f>
        <v>#NAME?</v>
      </c>
      <c r="BD102" s="51"/>
      <c r="BE102" s="70" t="e">
        <f t="shared" ref="BE102:BE117" ca="1" si="59">BA102-BC102</f>
        <v>#NAME?</v>
      </c>
      <c r="BG102" s="67" t="e">
        <f ca="1">BG30+BG43+BG49+BG74</f>
        <v>#NAME?</v>
      </c>
      <c r="BH102" s="51"/>
      <c r="BI102" s="69" t="e">
        <f ca="1">BI30+BI43+BI49+BI74</f>
        <v>#NAME?</v>
      </c>
      <c r="BJ102" s="185"/>
      <c r="BK102" s="70" t="e">
        <f t="shared" ca="1" si="57"/>
        <v>#NAME?</v>
      </c>
      <c r="BL102" s="53"/>
      <c r="BN102" s="67" t="e">
        <f ca="1">BN30+BN43+BN49+BN74</f>
        <v>#NAME?</v>
      </c>
      <c r="BO102" s="51"/>
      <c r="BP102" s="69" t="e">
        <f ca="1">BP30+BP43+BP49+BP74</f>
        <v>#NAME?</v>
      </c>
      <c r="BQ102" s="185"/>
      <c r="BR102" s="70" t="e">
        <f t="shared" ca="1" si="58"/>
        <v>#NAME?</v>
      </c>
      <c r="BS102" s="53"/>
    </row>
    <row r="103" spans="1:71" s="186" customFormat="1" ht="14.4" outlineLevel="4">
      <c r="D103" s="187" t="s">
        <v>288</v>
      </c>
      <c r="E103" s="113" t="e">
        <f ca="1">E31+E44+E52+E75</f>
        <v>#NAME?</v>
      </c>
      <c r="F103" s="188"/>
      <c r="G103" s="119" t="e">
        <f ca="1">G31+G44+G52+G75</f>
        <v>#NAME?</v>
      </c>
      <c r="H103" s="188"/>
      <c r="I103" s="189" t="e">
        <f t="shared" ca="1" si="49"/>
        <v>#NAME?</v>
      </c>
      <c r="J103" s="190"/>
      <c r="K103" s="113" t="e">
        <f ca="1">K31+K44+K52+K75</f>
        <v>#NAME?</v>
      </c>
      <c r="L103" s="188"/>
      <c r="M103" s="119" t="e">
        <f ca="1">M31+M44+M52+M75</f>
        <v>#NAME?</v>
      </c>
      <c r="N103" s="191"/>
      <c r="O103" s="189" t="e">
        <f t="shared" ca="1" si="50"/>
        <v>#NAME?</v>
      </c>
      <c r="P103" s="83"/>
      <c r="Q103" s="113" t="e">
        <f ca="1">Q31+Q44+Q52+Q75</f>
        <v>#NAME?</v>
      </c>
      <c r="R103" s="82"/>
      <c r="S103" s="119" t="e">
        <f ca="1">S31+S44+S52+S75</f>
        <v>#NAME?</v>
      </c>
      <c r="T103" s="191"/>
      <c r="U103" s="80" t="e">
        <f t="shared" ca="1" si="51"/>
        <v>#NAME?</v>
      </c>
      <c r="V103" s="25"/>
      <c r="W103" s="77" t="e">
        <f ca="1">W31+W44+W50+W75</f>
        <v>#NAME?</v>
      </c>
      <c r="X103" s="82"/>
      <c r="Y103" s="79" t="e">
        <f ca="1">Y31+Y44+Y50+Y75</f>
        <v>#NAME?</v>
      </c>
      <c r="Z103" s="191"/>
      <c r="AA103" s="80" t="e">
        <f t="shared" ca="1" si="52"/>
        <v>#NAME?</v>
      </c>
      <c r="AB103" s="83"/>
      <c r="AC103" s="77" t="e">
        <f ca="1">AC31+AC44+AC50+AC75</f>
        <v>#NAME?</v>
      </c>
      <c r="AD103" s="82"/>
      <c r="AE103" s="79" t="e">
        <f ca="1">AE31+AE44+AE50+AE75</f>
        <v>#NAME?</v>
      </c>
      <c r="AF103" s="191"/>
      <c r="AG103" s="80" t="e">
        <f t="shared" ca="1" si="53"/>
        <v>#NAME?</v>
      </c>
      <c r="AH103" s="83"/>
      <c r="AI103" s="77" t="e">
        <f ca="1">AI31+AI44+AI50+AI75</f>
        <v>#NAME?</v>
      </c>
      <c r="AJ103" s="82"/>
      <c r="AK103" s="79" t="e">
        <f ca="1">AK31+AK44+AK50+AK75</f>
        <v>#NAME?</v>
      </c>
      <c r="AL103" s="191"/>
      <c r="AM103" s="80" t="e">
        <f t="shared" ca="1" si="54"/>
        <v>#NAME?</v>
      </c>
      <c r="AN103" s="83"/>
      <c r="AO103" s="77" t="e">
        <f ca="1">AO31+AO44+AO50+AO75</f>
        <v>#NAME?</v>
      </c>
      <c r="AP103" s="82"/>
      <c r="AQ103" s="79" t="e">
        <f ca="1">AQ31+AQ44+AQ50+AQ75</f>
        <v>#NAME?</v>
      </c>
      <c r="AR103" s="191"/>
      <c r="AS103" s="80" t="e">
        <f t="shared" ca="1" si="55"/>
        <v>#NAME?</v>
      </c>
      <c r="AT103" s="83"/>
      <c r="AU103" s="77" t="e">
        <f ca="1">AU31+AU44+AU50+AU75</f>
        <v>#NAME?</v>
      </c>
      <c r="AV103" s="82"/>
      <c r="AW103" s="79" t="e">
        <f ca="1">AW31+AW44+AW50+AW75</f>
        <v>#NAME?</v>
      </c>
      <c r="AX103" s="191"/>
      <c r="AY103" s="80" t="e">
        <f t="shared" ca="1" si="56"/>
        <v>#NAME?</v>
      </c>
      <c r="BA103" s="77" t="e">
        <f ca="1">BA31+BA44+BA50+BA75</f>
        <v>#NAME?</v>
      </c>
      <c r="BB103" s="82"/>
      <c r="BC103" s="79" t="e">
        <f ca="1">BC31+BC44+BC50+BC75</f>
        <v>#NAME?</v>
      </c>
      <c r="BD103" s="51"/>
      <c r="BE103" s="80" t="e">
        <f t="shared" ca="1" si="59"/>
        <v>#NAME?</v>
      </c>
      <c r="BG103" s="77" t="e">
        <f ca="1">BG31+BG44+BG50+BG75</f>
        <v>#NAME?</v>
      </c>
      <c r="BH103" s="82"/>
      <c r="BI103" s="79" t="e">
        <f ca="1">BI31+BI44+BI50+BI75</f>
        <v>#NAME?</v>
      </c>
      <c r="BJ103" s="191"/>
      <c r="BK103" s="80" t="e">
        <f t="shared" ca="1" si="57"/>
        <v>#NAME?</v>
      </c>
      <c r="BL103" s="83"/>
      <c r="BN103" s="77" t="e">
        <f ca="1">BN31+BN44+BN50+BN75</f>
        <v>#NAME?</v>
      </c>
      <c r="BO103" s="82"/>
      <c r="BP103" s="79" t="e">
        <f ca="1">BP31+BP44+BP50+BP75</f>
        <v>#NAME?</v>
      </c>
      <c r="BQ103" s="191"/>
      <c r="BR103" s="80" t="e">
        <f t="shared" ca="1" si="58"/>
        <v>#NAME?</v>
      </c>
      <c r="BS103" s="83"/>
    </row>
    <row r="104" spans="1:71" s="17" customFormat="1" outlineLevel="3">
      <c r="D104" s="184" t="s">
        <v>48</v>
      </c>
      <c r="E104" s="67" t="e">
        <f ca="1">E28+E36+E38+E58+E73</f>
        <v>#NAME?</v>
      </c>
      <c r="F104" s="51"/>
      <c r="G104" s="69" t="e">
        <f ca="1">G28+G36+G38+G58+G73</f>
        <v>#NAME?</v>
      </c>
      <c r="H104" s="51"/>
      <c r="I104" s="70" t="e">
        <f t="shared" ca="1" si="49"/>
        <v>#NAME?</v>
      </c>
      <c r="J104" s="175"/>
      <c r="K104" s="67" t="e">
        <f ca="1">K28+K36+K38+K58+K73</f>
        <v>#NAME?</v>
      </c>
      <c r="L104" s="51"/>
      <c r="M104" s="69" t="e">
        <f ca="1">M28+M36+M38+M58+M73</f>
        <v>#NAME?</v>
      </c>
      <c r="N104" s="185"/>
      <c r="O104" s="70" t="e">
        <f t="shared" ca="1" si="50"/>
        <v>#NAME?</v>
      </c>
      <c r="P104" s="53"/>
      <c r="Q104" s="67" t="e">
        <f ca="1">Q28+Q36+Q38+Q58+Q73</f>
        <v>#NAME?</v>
      </c>
      <c r="R104" s="51"/>
      <c r="S104" s="69" t="e">
        <f ca="1">S28+S36+S38+S58+S73</f>
        <v>#NAME?</v>
      </c>
      <c r="T104" s="185"/>
      <c r="U104" s="70" t="e">
        <f t="shared" ca="1" si="51"/>
        <v>#NAME?</v>
      </c>
      <c r="V104" s="25"/>
      <c r="W104" s="67" t="e">
        <f ca="1">W28+W36+W38+W58+W73</f>
        <v>#NAME?</v>
      </c>
      <c r="X104" s="51"/>
      <c r="Y104" s="69" t="e">
        <f ca="1">Y28+Y36+Y38+Y58+Y73</f>
        <v>#NAME?</v>
      </c>
      <c r="Z104" s="185"/>
      <c r="AA104" s="70" t="e">
        <f t="shared" ca="1" si="52"/>
        <v>#NAME?</v>
      </c>
      <c r="AB104" s="53"/>
      <c r="AC104" s="67" t="e">
        <f ca="1">AC28+AC36+AC38+AC58+AC73</f>
        <v>#NAME?</v>
      </c>
      <c r="AD104" s="51"/>
      <c r="AE104" s="69" t="e">
        <f ca="1">AE28+AE36+AE38+AE58+AE73</f>
        <v>#NAME?</v>
      </c>
      <c r="AF104" s="185"/>
      <c r="AG104" s="70" t="e">
        <f t="shared" ca="1" si="53"/>
        <v>#NAME?</v>
      </c>
      <c r="AH104" s="53"/>
      <c r="AI104" s="67" t="e">
        <f ca="1">AI28+AI36+AI38+AI58+AI73</f>
        <v>#NAME?</v>
      </c>
      <c r="AJ104" s="51"/>
      <c r="AK104" s="69" t="e">
        <f ca="1">AK28+AK36+AK38+AK58+AK73</f>
        <v>#NAME?</v>
      </c>
      <c r="AL104" s="185"/>
      <c r="AM104" s="70" t="e">
        <f t="shared" ca="1" si="54"/>
        <v>#NAME?</v>
      </c>
      <c r="AN104" s="53"/>
      <c r="AO104" s="67" t="e">
        <f ca="1">AO28+AO36+AO38+AO58+AO73</f>
        <v>#NAME?</v>
      </c>
      <c r="AP104" s="51"/>
      <c r="AQ104" s="69" t="e">
        <f ca="1">AQ28+AQ36+AQ38+AQ58+AQ73</f>
        <v>#NAME?</v>
      </c>
      <c r="AR104" s="185"/>
      <c r="AS104" s="70" t="e">
        <f t="shared" ca="1" si="55"/>
        <v>#NAME?</v>
      </c>
      <c r="AT104" s="53"/>
      <c r="AU104" s="67" t="e">
        <f ca="1">AU28+AU36+AU38+AU58+AU73</f>
        <v>#NAME?</v>
      </c>
      <c r="AV104" s="51"/>
      <c r="AW104" s="69" t="e">
        <f ca="1">AW28+AW36+AW38+AW58+AW73</f>
        <v>#NAME?</v>
      </c>
      <c r="AX104" s="185"/>
      <c r="AY104" s="70" t="e">
        <f t="shared" ca="1" si="56"/>
        <v>#NAME?</v>
      </c>
      <c r="BA104" s="67" t="e">
        <f ca="1">BA28+BA36+BA38+BA58+BA73</f>
        <v>#NAME?</v>
      </c>
      <c r="BB104" s="51"/>
      <c r="BC104" s="69" t="e">
        <f ca="1">BC28+BC36+BC38+BC58+BC73</f>
        <v>#NAME?</v>
      </c>
      <c r="BD104" s="51"/>
      <c r="BE104" s="70" t="e">
        <f t="shared" ca="1" si="59"/>
        <v>#NAME?</v>
      </c>
      <c r="BG104" s="67" t="e">
        <f ca="1">BG28+BG36+BG38+BG58+BG73</f>
        <v>#NAME?</v>
      </c>
      <c r="BH104" s="51"/>
      <c r="BI104" s="69" t="e">
        <f ca="1">BI28+BI36+BI38+BI58+BI73</f>
        <v>#NAME?</v>
      </c>
      <c r="BJ104" s="185"/>
      <c r="BK104" s="70" t="e">
        <f t="shared" ca="1" si="57"/>
        <v>#NAME?</v>
      </c>
      <c r="BL104" s="53"/>
      <c r="BN104" s="67" t="e">
        <f ca="1">BN28+BN36+BN38+BN58+BN73</f>
        <v>#NAME?</v>
      </c>
      <c r="BO104" s="51"/>
      <c r="BP104" s="69" t="e">
        <f ca="1">BP28+BP36+BP38+BP58+BP73</f>
        <v>#NAME?</v>
      </c>
      <c r="BQ104" s="185"/>
      <c r="BR104" s="70" t="e">
        <f t="shared" ca="1" si="58"/>
        <v>#NAME?</v>
      </c>
      <c r="BS104" s="53"/>
    </row>
    <row r="105" spans="1:71" s="17" customFormat="1" outlineLevel="3">
      <c r="D105" s="184" t="s">
        <v>58</v>
      </c>
      <c r="E105" s="67" t="e">
        <f ca="1">E45+E61+E77</f>
        <v>#NAME?</v>
      </c>
      <c r="F105" s="51"/>
      <c r="G105" s="69" t="e">
        <f ca="1">G45+G61+G77</f>
        <v>#NAME?</v>
      </c>
      <c r="H105" s="51"/>
      <c r="I105" s="70" t="e">
        <f t="shared" ca="1" si="49"/>
        <v>#NAME?</v>
      </c>
      <c r="J105" s="175"/>
      <c r="K105" s="67" t="e">
        <f ca="1">K45+K61+K77</f>
        <v>#NAME?</v>
      </c>
      <c r="L105" s="51"/>
      <c r="M105" s="69" t="e">
        <f ca="1">M45+M61+M77</f>
        <v>#NAME?</v>
      </c>
      <c r="N105" s="185"/>
      <c r="O105" s="70" t="e">
        <f t="shared" ca="1" si="50"/>
        <v>#NAME?</v>
      </c>
      <c r="P105" s="53"/>
      <c r="Q105" s="67" t="e">
        <f ca="1">Q45+Q61+Q77</f>
        <v>#NAME?</v>
      </c>
      <c r="R105" s="51"/>
      <c r="S105" s="69" t="e">
        <f ca="1">S45+S61+S77</f>
        <v>#NAME?</v>
      </c>
      <c r="T105" s="185"/>
      <c r="U105" s="70" t="e">
        <f t="shared" ca="1" si="51"/>
        <v>#NAME?</v>
      </c>
      <c r="V105" s="25"/>
      <c r="W105" s="67" t="e">
        <f ca="1">W45+W61+W77</f>
        <v>#NAME?</v>
      </c>
      <c r="X105" s="51"/>
      <c r="Y105" s="69" t="e">
        <f ca="1">Y45+Y61+Y77</f>
        <v>#NAME?</v>
      </c>
      <c r="Z105" s="185"/>
      <c r="AA105" s="70" t="e">
        <f t="shared" ca="1" si="52"/>
        <v>#NAME?</v>
      </c>
      <c r="AB105" s="53"/>
      <c r="AC105" s="67" t="e">
        <f ca="1">AC45+AC61+AC77</f>
        <v>#NAME?</v>
      </c>
      <c r="AD105" s="51"/>
      <c r="AE105" s="69" t="e">
        <f ca="1">AE45+AE61+AE77</f>
        <v>#NAME?</v>
      </c>
      <c r="AF105" s="185"/>
      <c r="AG105" s="70" t="e">
        <f t="shared" ca="1" si="53"/>
        <v>#NAME?</v>
      </c>
      <c r="AH105" s="53"/>
      <c r="AI105" s="67" t="e">
        <f ca="1">AI45+AI61+AI77</f>
        <v>#NAME?</v>
      </c>
      <c r="AJ105" s="51"/>
      <c r="AK105" s="69" t="e">
        <f ca="1">AK45+AK61+AK77</f>
        <v>#NAME?</v>
      </c>
      <c r="AL105" s="185"/>
      <c r="AM105" s="70" t="e">
        <f t="shared" ca="1" si="54"/>
        <v>#NAME?</v>
      </c>
      <c r="AN105" s="53"/>
      <c r="AO105" s="67" t="e">
        <f ca="1">AO45+AO61+AO77</f>
        <v>#NAME?</v>
      </c>
      <c r="AP105" s="51"/>
      <c r="AQ105" s="69" t="e">
        <f ca="1">AQ45+AQ61+AQ77</f>
        <v>#NAME?</v>
      </c>
      <c r="AR105" s="185"/>
      <c r="AS105" s="70" t="e">
        <f t="shared" ca="1" si="55"/>
        <v>#NAME?</v>
      </c>
      <c r="AT105" s="53"/>
      <c r="AU105" s="67" t="e">
        <f ca="1">AU45+AU61+AU77</f>
        <v>#NAME?</v>
      </c>
      <c r="AV105" s="51"/>
      <c r="AW105" s="69" t="e">
        <f ca="1">AW45+AW61+AW77</f>
        <v>#NAME?</v>
      </c>
      <c r="AX105" s="185"/>
      <c r="AY105" s="70" t="e">
        <f t="shared" ca="1" si="56"/>
        <v>#NAME?</v>
      </c>
      <c r="BA105" s="67" t="e">
        <f ca="1">BA45+BA61+BA77</f>
        <v>#NAME?</v>
      </c>
      <c r="BB105" s="51"/>
      <c r="BC105" s="69" t="e">
        <f ca="1">BC45+BC61+BC77</f>
        <v>#NAME?</v>
      </c>
      <c r="BD105" s="51"/>
      <c r="BE105" s="70" t="e">
        <f t="shared" ca="1" si="59"/>
        <v>#NAME?</v>
      </c>
      <c r="BG105" s="67" t="e">
        <f ca="1">BG45+BG61+BG77</f>
        <v>#NAME?</v>
      </c>
      <c r="BH105" s="51"/>
      <c r="BI105" s="69" t="e">
        <f ca="1">BI45+BI61+BI77</f>
        <v>#NAME?</v>
      </c>
      <c r="BJ105" s="185"/>
      <c r="BK105" s="70" t="e">
        <f t="shared" ca="1" si="57"/>
        <v>#NAME?</v>
      </c>
      <c r="BL105" s="53"/>
      <c r="BN105" s="67" t="e">
        <f ca="1">BN45+BN61+BN77</f>
        <v>#NAME?</v>
      </c>
      <c r="BO105" s="51"/>
      <c r="BP105" s="69" t="e">
        <f ca="1">BP45+BP61+BP77</f>
        <v>#NAME?</v>
      </c>
      <c r="BQ105" s="185"/>
      <c r="BR105" s="70" t="e">
        <f t="shared" ca="1" si="58"/>
        <v>#NAME?</v>
      </c>
      <c r="BS105" s="53"/>
    </row>
    <row r="106" spans="1:71" s="17" customFormat="1" outlineLevel="3">
      <c r="D106" s="184" t="s">
        <v>88</v>
      </c>
      <c r="E106" s="67" t="e">
        <f ca="1">E32+E42+E62+E82</f>
        <v>#NAME?</v>
      </c>
      <c r="F106" s="51"/>
      <c r="G106" s="69" t="e">
        <f ca="1">G32+G42+G62+G82</f>
        <v>#NAME?</v>
      </c>
      <c r="H106" s="51"/>
      <c r="I106" s="70" t="e">
        <f t="shared" ca="1" si="49"/>
        <v>#NAME?</v>
      </c>
      <c r="J106" s="175"/>
      <c r="K106" s="67" t="e">
        <f ca="1">K32+K42+K62+K82</f>
        <v>#NAME?</v>
      </c>
      <c r="L106" s="51"/>
      <c r="M106" s="69" t="e">
        <f ca="1">M32+M42+M62+M82</f>
        <v>#NAME?</v>
      </c>
      <c r="N106" s="185"/>
      <c r="O106" s="70" t="e">
        <f t="shared" ca="1" si="50"/>
        <v>#NAME?</v>
      </c>
      <c r="P106" s="53"/>
      <c r="Q106" s="67" t="e">
        <f ca="1">Q32+Q42+Q62+Q82</f>
        <v>#NAME?</v>
      </c>
      <c r="R106" s="51"/>
      <c r="S106" s="69" t="e">
        <f ca="1">S32+S42+S62+S82</f>
        <v>#NAME?</v>
      </c>
      <c r="T106" s="185"/>
      <c r="U106" s="70" t="e">
        <f t="shared" ca="1" si="51"/>
        <v>#NAME?</v>
      </c>
      <c r="V106" s="25"/>
      <c r="W106" s="67" t="e">
        <f ca="1">W32+W42+W62+W82</f>
        <v>#NAME?</v>
      </c>
      <c r="X106" s="51"/>
      <c r="Y106" s="69" t="e">
        <f ca="1">Y32+Y42+Y62+Y82</f>
        <v>#NAME?</v>
      </c>
      <c r="Z106" s="185"/>
      <c r="AA106" s="70" t="e">
        <f t="shared" ca="1" si="52"/>
        <v>#NAME?</v>
      </c>
      <c r="AB106" s="53"/>
      <c r="AC106" s="67" t="e">
        <f ca="1">AC32+AC42+AC62+AC82</f>
        <v>#NAME?</v>
      </c>
      <c r="AD106" s="51"/>
      <c r="AE106" s="69" t="e">
        <f ca="1">AE32+AE42+AE62+AE82</f>
        <v>#NAME?</v>
      </c>
      <c r="AF106" s="185"/>
      <c r="AG106" s="70" t="e">
        <f t="shared" ca="1" si="53"/>
        <v>#NAME?</v>
      </c>
      <c r="AH106" s="53"/>
      <c r="AI106" s="67" t="e">
        <f ca="1">AI32+AI42+AI62+AI82</f>
        <v>#NAME?</v>
      </c>
      <c r="AJ106" s="51"/>
      <c r="AK106" s="69" t="e">
        <f ca="1">AK32+AK42+AK62+AK82</f>
        <v>#NAME?</v>
      </c>
      <c r="AL106" s="185"/>
      <c r="AM106" s="70" t="e">
        <f t="shared" ca="1" si="54"/>
        <v>#NAME?</v>
      </c>
      <c r="AN106" s="53"/>
      <c r="AO106" s="67" t="e">
        <f ca="1">AO32+AO42+AO62+AO82</f>
        <v>#NAME?</v>
      </c>
      <c r="AP106" s="51"/>
      <c r="AQ106" s="69" t="e">
        <f ca="1">AQ32+AQ42+AQ62+AQ82</f>
        <v>#NAME?</v>
      </c>
      <c r="AR106" s="185"/>
      <c r="AS106" s="70" t="e">
        <f t="shared" ca="1" si="55"/>
        <v>#NAME?</v>
      </c>
      <c r="AT106" s="53"/>
      <c r="AU106" s="67" t="e">
        <f ca="1">AU32+AU42+AU62+AU82</f>
        <v>#NAME?</v>
      </c>
      <c r="AV106" s="51"/>
      <c r="AW106" s="69" t="e">
        <f ca="1">AW32+AW42+AW62+AW82</f>
        <v>#NAME?</v>
      </c>
      <c r="AX106" s="185"/>
      <c r="AY106" s="70" t="e">
        <f t="shared" ca="1" si="56"/>
        <v>#NAME?</v>
      </c>
      <c r="BA106" s="67" t="e">
        <f ca="1">BA32+BA42+BA62+BA82</f>
        <v>#NAME?</v>
      </c>
      <c r="BB106" s="51"/>
      <c r="BC106" s="69" t="e">
        <f ca="1">BC32+BC42+BC62+BC82</f>
        <v>#NAME?</v>
      </c>
      <c r="BD106" s="51"/>
      <c r="BE106" s="70" t="e">
        <f t="shared" ca="1" si="59"/>
        <v>#NAME?</v>
      </c>
      <c r="BG106" s="67" t="e">
        <f ca="1">BG32+BG42+BG62+BG82</f>
        <v>#NAME?</v>
      </c>
      <c r="BH106" s="51"/>
      <c r="BI106" s="69" t="e">
        <f ca="1">BI32+BI42+BI62+BI82</f>
        <v>#NAME?</v>
      </c>
      <c r="BJ106" s="185"/>
      <c r="BK106" s="70" t="e">
        <f t="shared" ca="1" si="57"/>
        <v>#NAME?</v>
      </c>
      <c r="BL106" s="53"/>
      <c r="BN106" s="67" t="e">
        <f ca="1">BN32+BN42+BN62+BN82</f>
        <v>#NAME?</v>
      </c>
      <c r="BO106" s="51"/>
      <c r="BP106" s="69" t="e">
        <f ca="1">BP32+BP42+BP62+BP82</f>
        <v>#NAME?</v>
      </c>
      <c r="BQ106" s="185"/>
      <c r="BR106" s="70" t="e">
        <f t="shared" ca="1" si="58"/>
        <v>#NAME?</v>
      </c>
      <c r="BS106" s="53"/>
    </row>
    <row r="107" spans="1:71" s="17" customFormat="1" outlineLevel="3">
      <c r="D107" s="184" t="s">
        <v>68</v>
      </c>
      <c r="E107" s="67" t="e">
        <f ca="1">E27+E46+E60+E80</f>
        <v>#NAME?</v>
      </c>
      <c r="F107" s="51"/>
      <c r="G107" s="69" t="e">
        <f ca="1">G27+G46+G60+G80</f>
        <v>#NAME?</v>
      </c>
      <c r="H107" s="51"/>
      <c r="I107" s="70" t="e">
        <f t="shared" ca="1" si="49"/>
        <v>#NAME?</v>
      </c>
      <c r="J107" s="175"/>
      <c r="K107" s="67" t="e">
        <f ca="1">K27+K46+K60+K80</f>
        <v>#NAME?</v>
      </c>
      <c r="L107" s="51"/>
      <c r="M107" s="69" t="e">
        <f ca="1">M27+M46+M60+M80</f>
        <v>#NAME?</v>
      </c>
      <c r="N107" s="185"/>
      <c r="O107" s="70" t="e">
        <f t="shared" ca="1" si="50"/>
        <v>#NAME?</v>
      </c>
      <c r="P107" s="53"/>
      <c r="Q107" s="67" t="e">
        <f ca="1">Q27+Q46+Q60+Q80</f>
        <v>#NAME?</v>
      </c>
      <c r="R107" s="51"/>
      <c r="S107" s="69" t="e">
        <f ca="1">S27+S46+S60+S80</f>
        <v>#NAME?</v>
      </c>
      <c r="T107" s="185"/>
      <c r="U107" s="70" t="e">
        <f t="shared" ca="1" si="51"/>
        <v>#NAME?</v>
      </c>
      <c r="V107" s="25"/>
      <c r="W107" s="67" t="e">
        <f ca="1">W27+W46+W60+W80</f>
        <v>#NAME?</v>
      </c>
      <c r="X107" s="51"/>
      <c r="Y107" s="69" t="e">
        <f ca="1">Y27+Y46+Y60+Y80</f>
        <v>#NAME?</v>
      </c>
      <c r="Z107" s="185"/>
      <c r="AA107" s="70" t="e">
        <f t="shared" ca="1" si="52"/>
        <v>#NAME?</v>
      </c>
      <c r="AB107" s="53"/>
      <c r="AC107" s="67" t="e">
        <f ca="1">AC27+AC46+AC60+AC80</f>
        <v>#NAME?</v>
      </c>
      <c r="AD107" s="51"/>
      <c r="AE107" s="69" t="e">
        <f ca="1">AE27+AE46+AE60+AE80</f>
        <v>#NAME?</v>
      </c>
      <c r="AF107" s="185"/>
      <c r="AG107" s="70" t="e">
        <f t="shared" ca="1" si="53"/>
        <v>#NAME?</v>
      </c>
      <c r="AH107" s="53"/>
      <c r="AI107" s="67" t="e">
        <f ca="1">AI27+AI46+AI60+AI80</f>
        <v>#NAME?</v>
      </c>
      <c r="AJ107" s="51"/>
      <c r="AK107" s="69" t="e">
        <f ca="1">AK27+AK46+AK60+AK80</f>
        <v>#NAME?</v>
      </c>
      <c r="AL107" s="185"/>
      <c r="AM107" s="70" t="e">
        <f t="shared" ca="1" si="54"/>
        <v>#NAME?</v>
      </c>
      <c r="AN107" s="53"/>
      <c r="AO107" s="67" t="e">
        <f ca="1">AO27+AO46+AO60+AO80</f>
        <v>#NAME?</v>
      </c>
      <c r="AP107" s="51"/>
      <c r="AQ107" s="69" t="e">
        <f ca="1">AQ27+AQ46+AQ60+AQ80</f>
        <v>#NAME?</v>
      </c>
      <c r="AR107" s="185"/>
      <c r="AS107" s="70" t="e">
        <f t="shared" ca="1" si="55"/>
        <v>#NAME?</v>
      </c>
      <c r="AT107" s="53"/>
      <c r="AU107" s="67" t="e">
        <f ca="1">AU27+AU46+AU60+AU80</f>
        <v>#NAME?</v>
      </c>
      <c r="AV107" s="51"/>
      <c r="AW107" s="69" t="e">
        <f ca="1">AW27+AW46+AW60+AW80</f>
        <v>#NAME?</v>
      </c>
      <c r="AX107" s="185"/>
      <c r="AY107" s="70" t="e">
        <f t="shared" ca="1" si="56"/>
        <v>#NAME?</v>
      </c>
      <c r="BA107" s="67" t="e">
        <f ca="1">BA27+BA46+BA60+BA80</f>
        <v>#NAME?</v>
      </c>
      <c r="BB107" s="51"/>
      <c r="BC107" s="69" t="e">
        <f ca="1">BC27+BC46+BC60+BC80</f>
        <v>#NAME?</v>
      </c>
      <c r="BD107" s="51"/>
      <c r="BE107" s="70" t="e">
        <f t="shared" ca="1" si="59"/>
        <v>#NAME?</v>
      </c>
      <c r="BG107" s="67" t="e">
        <f ca="1">BG27+BG46+BG60+BG80</f>
        <v>#NAME?</v>
      </c>
      <c r="BH107" s="51"/>
      <c r="BI107" s="69" t="e">
        <f ca="1">BI27+BI46+BI60+BI80</f>
        <v>#NAME?</v>
      </c>
      <c r="BJ107" s="185"/>
      <c r="BK107" s="70" t="e">
        <f t="shared" ca="1" si="57"/>
        <v>#NAME?</v>
      </c>
      <c r="BL107" s="53"/>
      <c r="BN107" s="67" t="e">
        <f ca="1">BN27+BN46+BN60+BN80</f>
        <v>#NAME?</v>
      </c>
      <c r="BO107" s="51"/>
      <c r="BP107" s="69" t="e">
        <f ca="1">BP27+BP46+BP60+BP80</f>
        <v>#NAME?</v>
      </c>
      <c r="BQ107" s="185"/>
      <c r="BR107" s="70" t="e">
        <f t="shared" ca="1" si="58"/>
        <v>#NAME?</v>
      </c>
      <c r="BS107" s="53"/>
    </row>
    <row r="108" spans="1:71" s="17" customFormat="1" outlineLevel="3">
      <c r="D108" s="184" t="s">
        <v>77</v>
      </c>
      <c r="E108" s="67" t="e">
        <f ca="1">E26+E41+E63+E76+E91</f>
        <v>#NAME?</v>
      </c>
      <c r="F108" s="51"/>
      <c r="G108" s="69" t="e">
        <f ca="1">G26+G41+G63+G76+G91</f>
        <v>#NAME?</v>
      </c>
      <c r="H108" s="51"/>
      <c r="I108" s="70" t="e">
        <f t="shared" ca="1" si="49"/>
        <v>#NAME?</v>
      </c>
      <c r="J108" s="175"/>
      <c r="K108" s="67" t="e">
        <f ca="1">K26+K41+K63+K76+K91</f>
        <v>#NAME?</v>
      </c>
      <c r="L108" s="51"/>
      <c r="M108" s="69" t="e">
        <f ca="1">M26+M41+M63+M76+M91</f>
        <v>#NAME?</v>
      </c>
      <c r="N108" s="185"/>
      <c r="O108" s="70" t="e">
        <f t="shared" ca="1" si="50"/>
        <v>#NAME?</v>
      </c>
      <c r="P108" s="53"/>
      <c r="Q108" s="67" t="e">
        <f ca="1">Q26+Q41+Q63+Q76+Q91</f>
        <v>#NAME?</v>
      </c>
      <c r="R108" s="51"/>
      <c r="S108" s="69" t="e">
        <f ca="1">S26+S41+S63+S76+S91</f>
        <v>#NAME?</v>
      </c>
      <c r="T108" s="185"/>
      <c r="U108" s="70" t="e">
        <f t="shared" ca="1" si="51"/>
        <v>#NAME?</v>
      </c>
      <c r="V108" s="25"/>
      <c r="W108" s="67" t="e">
        <f ca="1">W26+W39+W63+W76+W91</f>
        <v>#NAME?</v>
      </c>
      <c r="X108" s="51"/>
      <c r="Y108" s="69" t="e">
        <f ca="1">Y26+Y39+Y63+Y76+Y91</f>
        <v>#NAME?</v>
      </c>
      <c r="Z108" s="185"/>
      <c r="AA108" s="70" t="e">
        <f t="shared" ca="1" si="52"/>
        <v>#NAME?</v>
      </c>
      <c r="AB108" s="53"/>
      <c r="AC108" s="67" t="e">
        <f ca="1">AC26+AC39+AC63+AC76+AC91</f>
        <v>#NAME?</v>
      </c>
      <c r="AD108" s="51"/>
      <c r="AE108" s="69" t="e">
        <f ca="1">AE26+AE39+AE63+AE76+AE91</f>
        <v>#NAME?</v>
      </c>
      <c r="AF108" s="185"/>
      <c r="AG108" s="70" t="e">
        <f t="shared" ca="1" si="53"/>
        <v>#NAME?</v>
      </c>
      <c r="AH108" s="53"/>
      <c r="AI108" s="67" t="e">
        <f ca="1">AI26+AI39+AI63+AI76+AI91</f>
        <v>#NAME?</v>
      </c>
      <c r="AJ108" s="51"/>
      <c r="AK108" s="69" t="e">
        <f ca="1">AK26+AK39+AK63+AK76+AK91</f>
        <v>#NAME?</v>
      </c>
      <c r="AL108" s="185"/>
      <c r="AM108" s="70" t="e">
        <f t="shared" ca="1" si="54"/>
        <v>#NAME?</v>
      </c>
      <c r="AN108" s="53"/>
      <c r="AO108" s="67" t="e">
        <f ca="1">AO26+AO39+AO63+AO76+AO91</f>
        <v>#NAME?</v>
      </c>
      <c r="AP108" s="51"/>
      <c r="AQ108" s="69" t="e">
        <f ca="1">AQ26+AQ39+AQ63+AQ76+AQ91</f>
        <v>#NAME?</v>
      </c>
      <c r="AR108" s="185"/>
      <c r="AS108" s="70" t="e">
        <f t="shared" ca="1" si="55"/>
        <v>#NAME?</v>
      </c>
      <c r="AT108" s="53"/>
      <c r="AU108" s="67" t="e">
        <f ca="1">AU26+AU39+AU63+AU76+AU91</f>
        <v>#NAME?</v>
      </c>
      <c r="AV108" s="51"/>
      <c r="AW108" s="69" t="e">
        <f ca="1">AW26+AW39+AW63+AW76+AW91</f>
        <v>#NAME?</v>
      </c>
      <c r="AX108" s="185"/>
      <c r="AY108" s="70" t="e">
        <f t="shared" ca="1" si="56"/>
        <v>#NAME?</v>
      </c>
      <c r="BA108" s="67" t="e">
        <f ca="1">BA26+BA39+BA63+BA76+BA91</f>
        <v>#NAME?</v>
      </c>
      <c r="BB108" s="51"/>
      <c r="BC108" s="69" t="e">
        <f ca="1">BC26+BC39+BC63+BC76+BC91</f>
        <v>#NAME?</v>
      </c>
      <c r="BD108" s="51"/>
      <c r="BE108" s="70" t="e">
        <f t="shared" ca="1" si="59"/>
        <v>#NAME?</v>
      </c>
      <c r="BG108" s="67" t="e">
        <f ca="1">BG26+BG39+BG63+BG76+BG91</f>
        <v>#NAME?</v>
      </c>
      <c r="BH108" s="51"/>
      <c r="BI108" s="69" t="e">
        <f ca="1">BI26+BI39+BI63+BI76+BI91</f>
        <v>#NAME?</v>
      </c>
      <c r="BJ108" s="185"/>
      <c r="BK108" s="70" t="e">
        <f t="shared" ca="1" si="57"/>
        <v>#NAME?</v>
      </c>
      <c r="BL108" s="53"/>
      <c r="BN108" s="67" t="e">
        <f ca="1">BN26+BN39+BN63+BN76+BN91</f>
        <v>#NAME?</v>
      </c>
      <c r="BO108" s="51"/>
      <c r="BP108" s="69" t="e">
        <f ca="1">BP26+BP39+BP63+BP76+BP91</f>
        <v>#NAME?</v>
      </c>
      <c r="BQ108" s="185"/>
      <c r="BR108" s="70" t="e">
        <f t="shared" ca="1" si="58"/>
        <v>#NAME?</v>
      </c>
      <c r="BS108" s="53"/>
    </row>
    <row r="109" spans="1:71" s="17" customFormat="1" outlineLevel="3">
      <c r="D109" s="184" t="s">
        <v>75</v>
      </c>
      <c r="E109" s="67" t="e">
        <f ca="1">E64+E81</f>
        <v>#NAME?</v>
      </c>
      <c r="F109" s="51"/>
      <c r="G109" s="69" t="e">
        <f ca="1">G64+G81</f>
        <v>#NAME?</v>
      </c>
      <c r="H109" s="51"/>
      <c r="I109" s="70" t="e">
        <f t="shared" ca="1" si="49"/>
        <v>#NAME?</v>
      </c>
      <c r="J109" s="175"/>
      <c r="K109" s="67" t="e">
        <f ca="1">K64+K81</f>
        <v>#NAME?</v>
      </c>
      <c r="L109" s="51"/>
      <c r="M109" s="69" t="e">
        <f ca="1">M64+M81</f>
        <v>#NAME?</v>
      </c>
      <c r="N109" s="185"/>
      <c r="O109" s="70" t="e">
        <f t="shared" ca="1" si="50"/>
        <v>#NAME?</v>
      </c>
      <c r="P109" s="53"/>
      <c r="Q109" s="67" t="e">
        <f ca="1">Q64+Q81</f>
        <v>#NAME?</v>
      </c>
      <c r="R109" s="51"/>
      <c r="S109" s="69" t="e">
        <f ca="1">S64+S81</f>
        <v>#NAME?</v>
      </c>
      <c r="T109" s="185"/>
      <c r="U109" s="70" t="e">
        <f t="shared" ca="1" si="51"/>
        <v>#NAME?</v>
      </c>
      <c r="V109" s="25"/>
      <c r="W109" s="67" t="e">
        <f ca="1">W64+W81</f>
        <v>#NAME?</v>
      </c>
      <c r="X109" s="51"/>
      <c r="Y109" s="69" t="e">
        <f ca="1">Y64+Y81</f>
        <v>#NAME?</v>
      </c>
      <c r="Z109" s="185"/>
      <c r="AA109" s="70" t="e">
        <f t="shared" ca="1" si="52"/>
        <v>#NAME?</v>
      </c>
      <c r="AB109" s="53"/>
      <c r="AC109" s="67" t="e">
        <f ca="1">AC64+AC81</f>
        <v>#NAME?</v>
      </c>
      <c r="AD109" s="51"/>
      <c r="AE109" s="69" t="e">
        <f ca="1">AE64+AE81</f>
        <v>#NAME?</v>
      </c>
      <c r="AF109" s="185"/>
      <c r="AG109" s="70" t="e">
        <f t="shared" ca="1" si="53"/>
        <v>#NAME?</v>
      </c>
      <c r="AH109" s="53"/>
      <c r="AI109" s="67" t="e">
        <f ca="1">AI64+AI81</f>
        <v>#NAME?</v>
      </c>
      <c r="AJ109" s="51"/>
      <c r="AK109" s="69" t="e">
        <f ca="1">AK64+AK81</f>
        <v>#NAME?</v>
      </c>
      <c r="AL109" s="185"/>
      <c r="AM109" s="70" t="e">
        <f t="shared" ca="1" si="54"/>
        <v>#NAME?</v>
      </c>
      <c r="AN109" s="53"/>
      <c r="AO109" s="67" t="e">
        <f ca="1">AO64+AO81</f>
        <v>#NAME?</v>
      </c>
      <c r="AP109" s="51"/>
      <c r="AQ109" s="69" t="e">
        <f ca="1">AQ64+AQ81</f>
        <v>#NAME?</v>
      </c>
      <c r="AR109" s="185"/>
      <c r="AS109" s="70" t="e">
        <f t="shared" ca="1" si="55"/>
        <v>#NAME?</v>
      </c>
      <c r="AT109" s="53"/>
      <c r="AU109" s="67" t="e">
        <f ca="1">AU64+AU81</f>
        <v>#NAME?</v>
      </c>
      <c r="AV109" s="51"/>
      <c r="AW109" s="69" t="e">
        <f ca="1">AW64+AW81</f>
        <v>#NAME?</v>
      </c>
      <c r="AX109" s="185"/>
      <c r="AY109" s="70" t="e">
        <f t="shared" ca="1" si="56"/>
        <v>#NAME?</v>
      </c>
      <c r="BA109" s="67" t="e">
        <f ca="1">BA64+BA81</f>
        <v>#NAME?</v>
      </c>
      <c r="BB109" s="51"/>
      <c r="BC109" s="69" t="e">
        <f ca="1">BC64+BC81</f>
        <v>#NAME?</v>
      </c>
      <c r="BD109" s="51"/>
      <c r="BE109" s="70" t="e">
        <f t="shared" ca="1" si="59"/>
        <v>#NAME?</v>
      </c>
      <c r="BG109" s="67" t="e">
        <f ca="1">BG64+BG81</f>
        <v>#NAME?</v>
      </c>
      <c r="BH109" s="51"/>
      <c r="BI109" s="69" t="e">
        <f ca="1">BI64+BI81</f>
        <v>#NAME?</v>
      </c>
      <c r="BJ109" s="185"/>
      <c r="BK109" s="70" t="e">
        <f t="shared" ca="1" si="57"/>
        <v>#NAME?</v>
      </c>
      <c r="BL109" s="53"/>
      <c r="BN109" s="67" t="e">
        <f ca="1">BN64+BN81</f>
        <v>#NAME?</v>
      </c>
      <c r="BO109" s="51"/>
      <c r="BP109" s="69" t="e">
        <f ca="1">BP64+BP81</f>
        <v>#NAME?</v>
      </c>
      <c r="BQ109" s="185"/>
      <c r="BR109" s="70" t="e">
        <f t="shared" ca="1" si="58"/>
        <v>#NAME?</v>
      </c>
      <c r="BS109" s="53"/>
    </row>
    <row r="110" spans="1:71" s="17" customFormat="1" outlineLevel="3">
      <c r="D110" s="184" t="s">
        <v>96</v>
      </c>
      <c r="E110" s="67" t="e">
        <f ca="1">E65+E78</f>
        <v>#NAME?</v>
      </c>
      <c r="F110" s="51"/>
      <c r="G110" s="69" t="e">
        <f ca="1">G65+G78</f>
        <v>#NAME?</v>
      </c>
      <c r="H110" s="51"/>
      <c r="I110" s="70" t="e">
        <f t="shared" ca="1" si="49"/>
        <v>#NAME?</v>
      </c>
      <c r="J110" s="175"/>
      <c r="K110" s="67" t="e">
        <f ca="1">K65+K78</f>
        <v>#NAME?</v>
      </c>
      <c r="L110" s="51"/>
      <c r="M110" s="69" t="e">
        <f ca="1">M65+M78</f>
        <v>#NAME?</v>
      </c>
      <c r="N110" s="185"/>
      <c r="O110" s="70" t="e">
        <f t="shared" ca="1" si="50"/>
        <v>#NAME?</v>
      </c>
      <c r="P110" s="53"/>
      <c r="Q110" s="67" t="e">
        <f ca="1">Q65+Q78</f>
        <v>#NAME?</v>
      </c>
      <c r="R110" s="51"/>
      <c r="S110" s="69" t="e">
        <f ca="1">S65+S78</f>
        <v>#NAME?</v>
      </c>
      <c r="T110" s="185"/>
      <c r="U110" s="70" t="e">
        <f t="shared" ca="1" si="51"/>
        <v>#NAME?</v>
      </c>
      <c r="V110" s="25"/>
      <c r="W110" s="67" t="e">
        <f ca="1">W65+W78</f>
        <v>#NAME?</v>
      </c>
      <c r="X110" s="51"/>
      <c r="Y110" s="69" t="e">
        <f ca="1">Y65+Y78</f>
        <v>#NAME?</v>
      </c>
      <c r="Z110" s="185"/>
      <c r="AA110" s="70" t="e">
        <f t="shared" ca="1" si="52"/>
        <v>#NAME?</v>
      </c>
      <c r="AB110" s="53"/>
      <c r="AC110" s="67" t="e">
        <f ca="1">AC65+AC78</f>
        <v>#NAME?</v>
      </c>
      <c r="AD110" s="51"/>
      <c r="AE110" s="69" t="e">
        <f ca="1">AE65+AE78</f>
        <v>#NAME?</v>
      </c>
      <c r="AF110" s="185"/>
      <c r="AG110" s="70" t="e">
        <f t="shared" ca="1" si="53"/>
        <v>#NAME?</v>
      </c>
      <c r="AH110" s="53"/>
      <c r="AI110" s="67" t="e">
        <f ca="1">AI65+AI78</f>
        <v>#NAME?</v>
      </c>
      <c r="AJ110" s="51"/>
      <c r="AK110" s="69" t="e">
        <f ca="1">AK65+AK78</f>
        <v>#NAME?</v>
      </c>
      <c r="AL110" s="185"/>
      <c r="AM110" s="70" t="e">
        <f t="shared" ca="1" si="54"/>
        <v>#NAME?</v>
      </c>
      <c r="AN110" s="53"/>
      <c r="AO110" s="67" t="e">
        <f ca="1">AO65+AO78</f>
        <v>#NAME?</v>
      </c>
      <c r="AP110" s="51"/>
      <c r="AQ110" s="69" t="e">
        <f ca="1">AQ65+AQ78</f>
        <v>#NAME?</v>
      </c>
      <c r="AR110" s="185"/>
      <c r="AS110" s="70" t="e">
        <f t="shared" ca="1" si="55"/>
        <v>#NAME?</v>
      </c>
      <c r="AT110" s="53"/>
      <c r="AU110" s="67" t="e">
        <f ca="1">AU65+AU78</f>
        <v>#NAME?</v>
      </c>
      <c r="AV110" s="51"/>
      <c r="AW110" s="69" t="e">
        <f ca="1">AW65+AW78</f>
        <v>#NAME?</v>
      </c>
      <c r="AX110" s="185"/>
      <c r="AY110" s="70" t="e">
        <f t="shared" ca="1" si="56"/>
        <v>#NAME?</v>
      </c>
      <c r="BA110" s="67" t="e">
        <f ca="1">BA65+BA78</f>
        <v>#NAME?</v>
      </c>
      <c r="BB110" s="51"/>
      <c r="BC110" s="69" t="e">
        <f ca="1">BC65+BC78</f>
        <v>#NAME?</v>
      </c>
      <c r="BD110" s="51"/>
      <c r="BE110" s="70" t="e">
        <f t="shared" ca="1" si="59"/>
        <v>#NAME?</v>
      </c>
      <c r="BG110" s="67" t="e">
        <f ca="1">BG65+BG78</f>
        <v>#NAME?</v>
      </c>
      <c r="BH110" s="51"/>
      <c r="BI110" s="69" t="e">
        <f ca="1">BI65+BI78</f>
        <v>#NAME?</v>
      </c>
      <c r="BJ110" s="185"/>
      <c r="BK110" s="70" t="e">
        <f t="shared" ca="1" si="57"/>
        <v>#NAME?</v>
      </c>
      <c r="BL110" s="53"/>
      <c r="BN110" s="67" t="e">
        <f ca="1">BN65+BN78</f>
        <v>#NAME?</v>
      </c>
      <c r="BO110" s="51"/>
      <c r="BP110" s="69" t="e">
        <f ca="1">BP65+BP78</f>
        <v>#NAME?</v>
      </c>
      <c r="BQ110" s="185"/>
      <c r="BR110" s="70" t="e">
        <f t="shared" ca="1" si="58"/>
        <v>#NAME?</v>
      </c>
      <c r="BS110" s="53"/>
    </row>
    <row r="111" spans="1:71" s="17" customFormat="1" outlineLevel="3">
      <c r="D111" s="192" t="s">
        <v>94</v>
      </c>
      <c r="E111" s="67" t="e">
        <f ca="1">E66+E79</f>
        <v>#NAME?</v>
      </c>
      <c r="F111" s="51"/>
      <c r="G111" s="193" t="e">
        <f ca="1">G66+G79</f>
        <v>#NAME?</v>
      </c>
      <c r="H111" s="51"/>
      <c r="I111" s="70" t="e">
        <f t="shared" ca="1" si="49"/>
        <v>#NAME?</v>
      </c>
      <c r="J111" s="175"/>
      <c r="K111" s="67" t="e">
        <f ca="1">K66+K79</f>
        <v>#NAME?</v>
      </c>
      <c r="L111" s="51"/>
      <c r="M111" s="193" t="e">
        <f ca="1">M66+M79</f>
        <v>#NAME?</v>
      </c>
      <c r="N111" s="194"/>
      <c r="O111" s="70" t="e">
        <f t="shared" ca="1" si="50"/>
        <v>#NAME?</v>
      </c>
      <c r="P111" s="53"/>
      <c r="Q111" s="195" t="e">
        <f ca="1">Q66+Q79</f>
        <v>#NAME?</v>
      </c>
      <c r="R111" s="51"/>
      <c r="S111" s="193" t="e">
        <f ca="1">S66+S79</f>
        <v>#NAME?</v>
      </c>
      <c r="T111" s="194"/>
      <c r="U111" s="94" t="e">
        <f t="shared" ca="1" si="51"/>
        <v>#NAME?</v>
      </c>
      <c r="V111" s="25"/>
      <c r="W111" s="195" t="e">
        <f ca="1">W66+W79</f>
        <v>#NAME?</v>
      </c>
      <c r="X111" s="51"/>
      <c r="Y111" s="193" t="e">
        <f ca="1">Y66+Y79</f>
        <v>#NAME?</v>
      </c>
      <c r="Z111" s="194"/>
      <c r="AA111" s="94" t="e">
        <f t="shared" ca="1" si="52"/>
        <v>#NAME?</v>
      </c>
      <c r="AB111" s="53"/>
      <c r="AC111" s="195" t="e">
        <f ca="1">AC66+AC79</f>
        <v>#NAME?</v>
      </c>
      <c r="AD111" s="51"/>
      <c r="AE111" s="193" t="e">
        <f ca="1">AE66+AE79</f>
        <v>#NAME?</v>
      </c>
      <c r="AF111" s="194"/>
      <c r="AG111" s="94" t="e">
        <f t="shared" ca="1" si="53"/>
        <v>#NAME?</v>
      </c>
      <c r="AH111" s="53"/>
      <c r="AI111" s="195" t="e">
        <f ca="1">AI66+AI79</f>
        <v>#NAME?</v>
      </c>
      <c r="AJ111" s="51"/>
      <c r="AK111" s="193" t="e">
        <f ca="1">AK66+AK79</f>
        <v>#NAME?</v>
      </c>
      <c r="AL111" s="194"/>
      <c r="AM111" s="94" t="e">
        <f t="shared" ca="1" si="54"/>
        <v>#NAME?</v>
      </c>
      <c r="AN111" s="53"/>
      <c r="AO111" s="195" t="e">
        <f ca="1">AO66+AO79</f>
        <v>#NAME?</v>
      </c>
      <c r="AP111" s="51"/>
      <c r="AQ111" s="193" t="e">
        <f ca="1">AQ66+AQ79</f>
        <v>#NAME?</v>
      </c>
      <c r="AR111" s="194"/>
      <c r="AS111" s="94" t="e">
        <f t="shared" ca="1" si="55"/>
        <v>#NAME?</v>
      </c>
      <c r="AT111" s="53"/>
      <c r="AU111" s="195" t="e">
        <f ca="1">AU66+AU79</f>
        <v>#NAME?</v>
      </c>
      <c r="AV111" s="51"/>
      <c r="AW111" s="193" t="e">
        <f ca="1">AW66+AW79</f>
        <v>#NAME?</v>
      </c>
      <c r="AX111" s="194"/>
      <c r="AY111" s="94" t="e">
        <f t="shared" ca="1" si="56"/>
        <v>#NAME?</v>
      </c>
      <c r="BA111" s="195" t="e">
        <f ca="1">BA66+BA79</f>
        <v>#NAME?</v>
      </c>
      <c r="BB111" s="51"/>
      <c r="BC111" s="193" t="e">
        <f ca="1">BC66+BC79</f>
        <v>#NAME?</v>
      </c>
      <c r="BD111" s="51"/>
      <c r="BE111" s="94" t="e">
        <f t="shared" ca="1" si="59"/>
        <v>#NAME?</v>
      </c>
      <c r="BG111" s="195" t="e">
        <f ca="1">BG66+BG79</f>
        <v>#NAME?</v>
      </c>
      <c r="BH111" s="51"/>
      <c r="BI111" s="193" t="e">
        <f ca="1">BI66+BI79</f>
        <v>#NAME?</v>
      </c>
      <c r="BJ111" s="194"/>
      <c r="BK111" s="94" t="e">
        <f t="shared" ca="1" si="57"/>
        <v>#NAME?</v>
      </c>
      <c r="BL111" s="53"/>
      <c r="BN111" s="195" t="e">
        <f ca="1">BN66+BN79</f>
        <v>#NAME?</v>
      </c>
      <c r="BO111" s="51"/>
      <c r="BP111" s="193" t="e">
        <f ca="1">BP66+BP79</f>
        <v>#NAME?</v>
      </c>
      <c r="BQ111" s="194"/>
      <c r="BR111" s="94" t="e">
        <f t="shared" ca="1" si="58"/>
        <v>#NAME?</v>
      </c>
      <c r="BS111" s="53"/>
    </row>
    <row r="112" spans="1:71" s="17" customFormat="1" outlineLevel="3">
      <c r="D112" s="192" t="s">
        <v>100</v>
      </c>
      <c r="E112" s="67" t="e">
        <f ca="1">E29</f>
        <v>#NAME?</v>
      </c>
      <c r="F112" s="51"/>
      <c r="G112" s="193" t="e">
        <f ca="1">G29</f>
        <v>#NAME?</v>
      </c>
      <c r="H112" s="51"/>
      <c r="I112" s="70" t="e">
        <f t="shared" ca="1" si="49"/>
        <v>#NAME?</v>
      </c>
      <c r="J112" s="175"/>
      <c r="K112" s="67" t="e">
        <f ca="1">K29</f>
        <v>#NAME?</v>
      </c>
      <c r="L112" s="51"/>
      <c r="M112" s="193" t="e">
        <f ca="1">M29</f>
        <v>#NAME?</v>
      </c>
      <c r="N112" s="194"/>
      <c r="O112" s="70" t="e">
        <f t="shared" ca="1" si="50"/>
        <v>#NAME?</v>
      </c>
      <c r="P112" s="53"/>
      <c r="Q112" s="195" t="e">
        <f ca="1">Q29</f>
        <v>#NAME?</v>
      </c>
      <c r="R112" s="51"/>
      <c r="S112" s="193" t="e">
        <f ca="1">S29</f>
        <v>#NAME?</v>
      </c>
      <c r="T112" s="194"/>
      <c r="U112" s="94" t="e">
        <f t="shared" ca="1" si="51"/>
        <v>#NAME?</v>
      </c>
      <c r="V112" s="25"/>
      <c r="W112" s="195" t="e">
        <f ca="1">W29</f>
        <v>#NAME?</v>
      </c>
      <c r="X112" s="51"/>
      <c r="Y112" s="193" t="e">
        <f ca="1">Y29</f>
        <v>#NAME?</v>
      </c>
      <c r="Z112" s="194"/>
      <c r="AA112" s="94" t="e">
        <f t="shared" ca="1" si="52"/>
        <v>#NAME?</v>
      </c>
      <c r="AB112" s="53"/>
      <c r="AC112" s="195" t="e">
        <f ca="1">AC29</f>
        <v>#NAME?</v>
      </c>
      <c r="AD112" s="51"/>
      <c r="AE112" s="193" t="e">
        <f ca="1">AE29</f>
        <v>#NAME?</v>
      </c>
      <c r="AF112" s="194"/>
      <c r="AG112" s="94" t="e">
        <f t="shared" ca="1" si="53"/>
        <v>#NAME?</v>
      </c>
      <c r="AH112" s="53"/>
      <c r="AI112" s="195" t="e">
        <f ca="1">AI29</f>
        <v>#NAME?</v>
      </c>
      <c r="AJ112" s="51"/>
      <c r="AK112" s="193" t="e">
        <f ca="1">AK29</f>
        <v>#NAME?</v>
      </c>
      <c r="AL112" s="194"/>
      <c r="AM112" s="94" t="e">
        <f t="shared" ca="1" si="54"/>
        <v>#NAME?</v>
      </c>
      <c r="AN112" s="53"/>
      <c r="AO112" s="195" t="e">
        <f ca="1">AO29</f>
        <v>#NAME?</v>
      </c>
      <c r="AP112" s="51"/>
      <c r="AQ112" s="193" t="e">
        <f ca="1">AQ29</f>
        <v>#NAME?</v>
      </c>
      <c r="AR112" s="194"/>
      <c r="AS112" s="94" t="e">
        <f t="shared" ca="1" si="55"/>
        <v>#NAME?</v>
      </c>
      <c r="AT112" s="53"/>
      <c r="AU112" s="195" t="e">
        <f ca="1">AU29</f>
        <v>#NAME?</v>
      </c>
      <c r="AV112" s="51"/>
      <c r="AW112" s="193" t="e">
        <f ca="1">AW29</f>
        <v>#NAME?</v>
      </c>
      <c r="AX112" s="194"/>
      <c r="AY112" s="94" t="e">
        <f t="shared" ca="1" si="56"/>
        <v>#NAME?</v>
      </c>
      <c r="BA112" s="195" t="e">
        <f ca="1">BA29</f>
        <v>#NAME?</v>
      </c>
      <c r="BB112" s="51"/>
      <c r="BC112" s="193" t="e">
        <f ca="1">BC29</f>
        <v>#NAME?</v>
      </c>
      <c r="BD112" s="51"/>
      <c r="BE112" s="94" t="e">
        <f t="shared" ca="1" si="59"/>
        <v>#NAME?</v>
      </c>
      <c r="BG112" s="195" t="e">
        <f ca="1">BG29</f>
        <v>#NAME?</v>
      </c>
      <c r="BH112" s="51"/>
      <c r="BI112" s="193" t="e">
        <f ca="1">BI29</f>
        <v>#NAME?</v>
      </c>
      <c r="BJ112" s="194"/>
      <c r="BK112" s="94" t="e">
        <f t="shared" ca="1" si="57"/>
        <v>#NAME?</v>
      </c>
      <c r="BL112" s="53"/>
      <c r="BN112" s="195" t="e">
        <f ca="1">BN29</f>
        <v>#NAME?</v>
      </c>
      <c r="BO112" s="51"/>
      <c r="BP112" s="193" t="e">
        <f ca="1">BP29</f>
        <v>#NAME?</v>
      </c>
      <c r="BQ112" s="194"/>
      <c r="BR112" s="94" t="e">
        <f t="shared" ca="1" si="58"/>
        <v>#NAME?</v>
      </c>
      <c r="BS112" s="53"/>
    </row>
    <row r="113" spans="1:71" s="17" customFormat="1" outlineLevel="3">
      <c r="D113" s="184" t="s">
        <v>371</v>
      </c>
      <c r="E113" s="67" t="e">
        <f ca="1">E83</f>
        <v>#NAME?</v>
      </c>
      <c r="F113" s="51"/>
      <c r="G113" s="193" t="e">
        <f ca="1">G83</f>
        <v>#NAME?</v>
      </c>
      <c r="H113" s="51"/>
      <c r="I113" s="70" t="e">
        <f t="shared" ca="1" si="49"/>
        <v>#NAME?</v>
      </c>
      <c r="J113" s="175"/>
      <c r="K113" s="67" t="e">
        <f ca="1">K83</f>
        <v>#NAME?</v>
      </c>
      <c r="L113" s="51"/>
      <c r="M113" s="193" t="e">
        <f ca="1">M83</f>
        <v>#NAME?</v>
      </c>
      <c r="N113" s="194"/>
      <c r="O113" s="70" t="e">
        <f t="shared" ca="1" si="50"/>
        <v>#NAME?</v>
      </c>
      <c r="P113" s="53"/>
      <c r="Q113" s="195" t="e">
        <f ca="1">Q83</f>
        <v>#NAME?</v>
      </c>
      <c r="R113" s="51"/>
      <c r="S113" s="193" t="e">
        <f ca="1">S83</f>
        <v>#NAME?</v>
      </c>
      <c r="T113" s="194"/>
      <c r="U113" s="94" t="e">
        <f t="shared" ca="1" si="51"/>
        <v>#NAME?</v>
      </c>
      <c r="V113" s="25"/>
      <c r="W113" s="195" t="e">
        <f ca="1">W83</f>
        <v>#NAME?</v>
      </c>
      <c r="X113" s="51"/>
      <c r="Y113" s="193" t="e">
        <f ca="1">Y83</f>
        <v>#NAME?</v>
      </c>
      <c r="Z113" s="194"/>
      <c r="AA113" s="94" t="e">
        <f t="shared" ca="1" si="52"/>
        <v>#NAME?</v>
      </c>
      <c r="AB113" s="53"/>
      <c r="AC113" s="195" t="e">
        <f ca="1">AC83</f>
        <v>#NAME?</v>
      </c>
      <c r="AD113" s="51"/>
      <c r="AE113" s="193" t="e">
        <f ca="1">AE83</f>
        <v>#NAME?</v>
      </c>
      <c r="AF113" s="194"/>
      <c r="AG113" s="94" t="e">
        <f t="shared" ca="1" si="53"/>
        <v>#NAME?</v>
      </c>
      <c r="AH113" s="53"/>
      <c r="AI113" s="195" t="e">
        <f ca="1">AI83</f>
        <v>#NAME?</v>
      </c>
      <c r="AJ113" s="51"/>
      <c r="AK113" s="193" t="e">
        <f ca="1">AK83</f>
        <v>#NAME?</v>
      </c>
      <c r="AL113" s="194"/>
      <c r="AM113" s="94" t="e">
        <f t="shared" ca="1" si="54"/>
        <v>#NAME?</v>
      </c>
      <c r="AN113" s="53"/>
      <c r="AO113" s="195" t="e">
        <f ca="1">AO83</f>
        <v>#NAME?</v>
      </c>
      <c r="AP113" s="51"/>
      <c r="AQ113" s="193" t="e">
        <f ca="1">AQ83</f>
        <v>#NAME?</v>
      </c>
      <c r="AR113" s="194"/>
      <c r="AS113" s="94" t="e">
        <f t="shared" ca="1" si="55"/>
        <v>#NAME?</v>
      </c>
      <c r="AT113" s="53"/>
      <c r="AU113" s="195" t="e">
        <f ca="1">AU83</f>
        <v>#NAME?</v>
      </c>
      <c r="AV113" s="51"/>
      <c r="AW113" s="193" t="e">
        <f ca="1">AW83</f>
        <v>#NAME?</v>
      </c>
      <c r="AX113" s="194"/>
      <c r="AY113" s="94" t="e">
        <f t="shared" ca="1" si="56"/>
        <v>#NAME?</v>
      </c>
      <c r="BA113" s="195" t="e">
        <f ca="1">BA83</f>
        <v>#NAME?</v>
      </c>
      <c r="BB113" s="51"/>
      <c r="BC113" s="193" t="e">
        <f ca="1">BC83</f>
        <v>#NAME?</v>
      </c>
      <c r="BD113" s="51"/>
      <c r="BE113" s="94" t="e">
        <f t="shared" ca="1" si="59"/>
        <v>#NAME?</v>
      </c>
      <c r="BG113" s="195" t="e">
        <f ca="1">BG83</f>
        <v>#NAME?</v>
      </c>
      <c r="BH113" s="51"/>
      <c r="BI113" s="193" t="e">
        <f ca="1">BI83</f>
        <v>#NAME?</v>
      </c>
      <c r="BJ113" s="194"/>
      <c r="BK113" s="94" t="e">
        <f t="shared" ca="1" si="57"/>
        <v>#NAME?</v>
      </c>
      <c r="BL113" s="53"/>
      <c r="BN113" s="195" t="e">
        <f ca="1">BN83</f>
        <v>#NAME?</v>
      </c>
      <c r="BO113" s="51"/>
      <c r="BP113" s="193" t="e">
        <f ca="1">BP83</f>
        <v>#NAME?</v>
      </c>
      <c r="BQ113" s="194"/>
      <c r="BR113" s="94" t="e">
        <f t="shared" ca="1" si="58"/>
        <v>#NAME?</v>
      </c>
      <c r="BS113" s="53"/>
    </row>
    <row r="114" spans="1:71" s="17" customFormat="1" outlineLevel="3">
      <c r="D114" s="184" t="s">
        <v>372</v>
      </c>
      <c r="E114" s="195">
        <f>E90</f>
        <v>0</v>
      </c>
      <c r="F114" s="196"/>
      <c r="G114" s="193">
        <f>G90</f>
        <v>0</v>
      </c>
      <c r="H114" s="51"/>
      <c r="I114" s="70">
        <f t="shared" si="49"/>
        <v>0</v>
      </c>
      <c r="J114" s="175"/>
      <c r="K114" s="195">
        <f>K90</f>
        <v>6783.9279999999999</v>
      </c>
      <c r="L114" s="196"/>
      <c r="M114" s="193">
        <f>M90</f>
        <v>6783.9279999999999</v>
      </c>
      <c r="N114" s="51"/>
      <c r="O114" s="70">
        <f t="shared" si="50"/>
        <v>0</v>
      </c>
      <c r="P114" s="175"/>
      <c r="Q114" s="195">
        <f>Q90</f>
        <v>6783.9279999999999</v>
      </c>
      <c r="R114" s="196"/>
      <c r="S114" s="193">
        <f>S90</f>
        <v>6783.9279999999999</v>
      </c>
      <c r="T114" s="51"/>
      <c r="U114" s="70">
        <f t="shared" si="51"/>
        <v>0</v>
      </c>
      <c r="V114" s="25"/>
      <c r="W114" s="195">
        <f>W90</f>
        <v>0</v>
      </c>
      <c r="X114" s="196"/>
      <c r="Y114" s="193">
        <f>Y90</f>
        <v>0</v>
      </c>
      <c r="Z114" s="51"/>
      <c r="AA114" s="70">
        <f t="shared" si="52"/>
        <v>0</v>
      </c>
      <c r="AB114" s="175"/>
      <c r="AC114" s="195">
        <f>AC90</f>
        <v>0</v>
      </c>
      <c r="AD114" s="196"/>
      <c r="AE114" s="193">
        <f>AE90</f>
        <v>0</v>
      </c>
      <c r="AF114" s="51"/>
      <c r="AG114" s="70">
        <f t="shared" si="53"/>
        <v>0</v>
      </c>
      <c r="AH114" s="175"/>
      <c r="AI114" s="195">
        <f>AI90</f>
        <v>0</v>
      </c>
      <c r="AJ114" s="196"/>
      <c r="AK114" s="193">
        <f>AK90</f>
        <v>0</v>
      </c>
      <c r="AL114" s="51"/>
      <c r="AM114" s="70">
        <f t="shared" si="54"/>
        <v>0</v>
      </c>
      <c r="AN114" s="175"/>
      <c r="AO114" s="195">
        <f>AO90</f>
        <v>0</v>
      </c>
      <c r="AP114" s="196"/>
      <c r="AQ114" s="193">
        <f>AQ90</f>
        <v>0</v>
      </c>
      <c r="AR114" s="51"/>
      <c r="AS114" s="70">
        <f t="shared" si="55"/>
        <v>0</v>
      </c>
      <c r="AT114" s="175"/>
      <c r="AU114" s="195">
        <f>AU90</f>
        <v>0</v>
      </c>
      <c r="AV114" s="196"/>
      <c r="AW114" s="193">
        <f>AW90</f>
        <v>0</v>
      </c>
      <c r="AX114" s="51"/>
      <c r="AY114" s="70">
        <f t="shared" si="56"/>
        <v>0</v>
      </c>
      <c r="BA114" s="195">
        <f>BA90</f>
        <v>6783.9279999999999</v>
      </c>
      <c r="BB114" s="196"/>
      <c r="BC114" s="193">
        <f>BC90</f>
        <v>6783.9279999999999</v>
      </c>
      <c r="BD114" s="51"/>
      <c r="BE114" s="70">
        <f t="shared" si="59"/>
        <v>0</v>
      </c>
      <c r="BG114" s="195">
        <f>BG90</f>
        <v>0</v>
      </c>
      <c r="BH114" s="196"/>
      <c r="BI114" s="193">
        <f>BI90</f>
        <v>0</v>
      </c>
      <c r="BJ114" s="51"/>
      <c r="BK114" s="70">
        <f t="shared" si="57"/>
        <v>0</v>
      </c>
      <c r="BL114" s="175"/>
      <c r="BN114" s="195">
        <f>BN90</f>
        <v>0</v>
      </c>
      <c r="BO114" s="196"/>
      <c r="BP114" s="193">
        <f>BP90</f>
        <v>0</v>
      </c>
      <c r="BQ114" s="51"/>
      <c r="BR114" s="70">
        <f t="shared" si="58"/>
        <v>0</v>
      </c>
      <c r="BS114" s="175"/>
    </row>
    <row r="115" spans="1:71" s="17" customFormat="1" outlineLevel="3">
      <c r="D115" s="192" t="s">
        <v>368</v>
      </c>
      <c r="E115" s="195" t="e">
        <f ca="1">E94</f>
        <v>#NAME?</v>
      </c>
      <c r="F115" s="51"/>
      <c r="G115" s="193" t="e">
        <f ca="1">G94</f>
        <v>#NAME?</v>
      </c>
      <c r="H115" s="51"/>
      <c r="I115" s="70" t="e">
        <f t="shared" ca="1" si="49"/>
        <v>#NAME?</v>
      </c>
      <c r="J115" s="175"/>
      <c r="K115" s="67" t="e">
        <f ca="1">K94</f>
        <v>#NAME?</v>
      </c>
      <c r="L115" s="51"/>
      <c r="M115" s="193" t="e">
        <f ca="1">M94</f>
        <v>#NAME?</v>
      </c>
      <c r="N115" s="194"/>
      <c r="O115" s="70" t="e">
        <f t="shared" ca="1" si="50"/>
        <v>#NAME?</v>
      </c>
      <c r="P115" s="53"/>
      <c r="Q115" s="195" t="e">
        <f ca="1">Q94</f>
        <v>#NAME?</v>
      </c>
      <c r="R115" s="51"/>
      <c r="S115" s="193" t="e">
        <f ca="1">S94</f>
        <v>#NAME?</v>
      </c>
      <c r="T115" s="194"/>
      <c r="U115" s="94" t="e">
        <f t="shared" ca="1" si="51"/>
        <v>#NAME?</v>
      </c>
      <c r="V115" s="25"/>
      <c r="W115" s="195">
        <f>W94</f>
        <v>0</v>
      </c>
      <c r="X115" s="51"/>
      <c r="Y115" s="193">
        <f>Y94</f>
        <v>0</v>
      </c>
      <c r="Z115" s="194"/>
      <c r="AA115" s="94">
        <f t="shared" si="52"/>
        <v>0</v>
      </c>
      <c r="AB115" s="53"/>
      <c r="AC115" s="195">
        <f>AC94</f>
        <v>0</v>
      </c>
      <c r="AD115" s="51"/>
      <c r="AE115" s="193">
        <f>AE94</f>
        <v>0</v>
      </c>
      <c r="AF115" s="194"/>
      <c r="AG115" s="94">
        <f t="shared" si="53"/>
        <v>0</v>
      </c>
      <c r="AH115" s="53"/>
      <c r="AI115" s="195">
        <f>AI94</f>
        <v>0</v>
      </c>
      <c r="AJ115" s="51"/>
      <c r="AK115" s="193">
        <f>AK94</f>
        <v>0</v>
      </c>
      <c r="AL115" s="194"/>
      <c r="AM115" s="94">
        <f t="shared" si="54"/>
        <v>0</v>
      </c>
      <c r="AN115" s="53"/>
      <c r="AO115" s="195">
        <f>AO94</f>
        <v>0</v>
      </c>
      <c r="AP115" s="51"/>
      <c r="AQ115" s="193">
        <f>AQ94</f>
        <v>0</v>
      </c>
      <c r="AR115" s="194"/>
      <c r="AS115" s="94">
        <f t="shared" si="55"/>
        <v>0</v>
      </c>
      <c r="AT115" s="53"/>
      <c r="AU115" s="195">
        <f>AU94</f>
        <v>0</v>
      </c>
      <c r="AV115" s="51"/>
      <c r="AW115" s="193">
        <f>AW94</f>
        <v>0</v>
      </c>
      <c r="AX115" s="194"/>
      <c r="AY115" s="94">
        <f t="shared" si="56"/>
        <v>0</v>
      </c>
      <c r="BA115" s="195" t="e">
        <f ca="1">BA94</f>
        <v>#NAME?</v>
      </c>
      <c r="BB115" s="51"/>
      <c r="BC115" s="193" t="e">
        <f ca="1">BC94</f>
        <v>#NAME?</v>
      </c>
      <c r="BD115" s="51"/>
      <c r="BE115" s="94" t="e">
        <f t="shared" ca="1" si="59"/>
        <v>#NAME?</v>
      </c>
      <c r="BG115" s="195">
        <f>BG94</f>
        <v>0</v>
      </c>
      <c r="BH115" s="51"/>
      <c r="BI115" s="193">
        <f>BI94</f>
        <v>0</v>
      </c>
      <c r="BJ115" s="194"/>
      <c r="BK115" s="94">
        <f t="shared" si="57"/>
        <v>0</v>
      </c>
      <c r="BL115" s="53"/>
      <c r="BN115" s="195">
        <f>BN94</f>
        <v>0</v>
      </c>
      <c r="BO115" s="51"/>
      <c r="BP115" s="193">
        <f>BP94</f>
        <v>0</v>
      </c>
      <c r="BQ115" s="194"/>
      <c r="BR115" s="94">
        <f t="shared" si="58"/>
        <v>0</v>
      </c>
      <c r="BS115" s="53"/>
    </row>
    <row r="116" spans="1:71" s="197" customFormat="1" outlineLevel="3">
      <c r="D116" s="198" t="s">
        <v>373</v>
      </c>
      <c r="E116" s="57" t="e">
        <f ca="1">E18+E35+E48+E70+E93</f>
        <v>#NAME?</v>
      </c>
      <c r="F116" s="62"/>
      <c r="G116" s="59" t="e">
        <f ca="1">G18+G35+G48+G70+G93</f>
        <v>#NAME?</v>
      </c>
      <c r="H116" s="62"/>
      <c r="I116" s="199" t="e">
        <f t="shared" ca="1" si="49"/>
        <v>#NAME?</v>
      </c>
      <c r="J116" s="200"/>
      <c r="K116" s="57" t="e">
        <f ca="1">K18+K35+K48+K70+K93</f>
        <v>#NAME?</v>
      </c>
      <c r="L116" s="62"/>
      <c r="M116" s="59" t="e">
        <f ca="1">M18+M35+M48+M70+M93</f>
        <v>#NAME?</v>
      </c>
      <c r="N116" s="201"/>
      <c r="O116" s="199" t="e">
        <f t="shared" ca="1" si="50"/>
        <v>#NAME?</v>
      </c>
      <c r="P116" s="63"/>
      <c r="Q116" s="57" t="e">
        <f ca="1">Q18+Q35+Q48+Q70+Q93</f>
        <v>#NAME?</v>
      </c>
      <c r="R116" s="62"/>
      <c r="S116" s="59" t="e">
        <f ca="1">S18+S35+S48+S70+S93</f>
        <v>#NAME?</v>
      </c>
      <c r="T116" s="201"/>
      <c r="U116" s="60" t="e">
        <f t="shared" ca="1" si="51"/>
        <v>#NAME?</v>
      </c>
      <c r="V116" s="25"/>
      <c r="W116" s="57" t="e">
        <f ca="1">W18+#REF!+W35+W48+W70+W93</f>
        <v>#NAME?</v>
      </c>
      <c r="X116" s="62"/>
      <c r="Y116" s="59" t="e">
        <f ca="1">Y18+#REF!+Y35+Y48+Y70+Y93</f>
        <v>#NAME?</v>
      </c>
      <c r="Z116" s="201"/>
      <c r="AA116" s="60" t="e">
        <f t="shared" ca="1" si="52"/>
        <v>#NAME?</v>
      </c>
      <c r="AB116" s="63"/>
      <c r="AC116" s="57" t="e">
        <f ca="1">AC18+#REF!+AC35+AC48+AC70+AC93</f>
        <v>#NAME?</v>
      </c>
      <c r="AD116" s="62"/>
      <c r="AE116" s="59" t="e">
        <f ca="1">AE18+#REF!+AE35+AE48+AE70+AE93</f>
        <v>#NAME?</v>
      </c>
      <c r="AF116" s="201"/>
      <c r="AG116" s="60" t="e">
        <f t="shared" ca="1" si="53"/>
        <v>#NAME?</v>
      </c>
      <c r="AH116" s="63"/>
      <c r="AI116" s="57" t="e">
        <f ca="1">AI18+#REF!+AI35+AI48+AI70+AI93</f>
        <v>#NAME?</v>
      </c>
      <c r="AJ116" s="62"/>
      <c r="AK116" s="59" t="e">
        <f ca="1">AK18+#REF!+AK35+AK48+AK70+AK93</f>
        <v>#NAME?</v>
      </c>
      <c r="AL116" s="201"/>
      <c r="AM116" s="60" t="e">
        <f t="shared" ca="1" si="54"/>
        <v>#NAME?</v>
      </c>
      <c r="AN116" s="63"/>
      <c r="AO116" s="57" t="e">
        <f ca="1">AO18+#REF!+AO35+AO48+AO70+AO93</f>
        <v>#NAME?</v>
      </c>
      <c r="AP116" s="62"/>
      <c r="AQ116" s="59" t="e">
        <f ca="1">AQ18+#REF!+AQ35+AQ48+AQ70+AQ93</f>
        <v>#NAME?</v>
      </c>
      <c r="AR116" s="201"/>
      <c r="AS116" s="60" t="e">
        <f t="shared" ca="1" si="55"/>
        <v>#NAME?</v>
      </c>
      <c r="AT116" s="63"/>
      <c r="AU116" s="57" t="e">
        <f ca="1">AU18+#REF!+AU35+AU48+AU70+AU93</f>
        <v>#NAME?</v>
      </c>
      <c r="AV116" s="62"/>
      <c r="AW116" s="59" t="e">
        <f ca="1">AW18+#REF!+AW35+AW48+AW70+AW93</f>
        <v>#NAME?</v>
      </c>
      <c r="AX116" s="201"/>
      <c r="AY116" s="60" t="e">
        <f t="shared" ca="1" si="56"/>
        <v>#NAME?</v>
      </c>
      <c r="BA116" s="57" t="e">
        <f ca="1">BA18+#REF!+BA35+BA48+BA70+BA93</f>
        <v>#NAME?</v>
      </c>
      <c r="BB116" s="62"/>
      <c r="BC116" s="59" t="e">
        <f ca="1">BC18+#REF!+BC35+BC48+BC70+BC93</f>
        <v>#NAME?</v>
      </c>
      <c r="BD116" s="51"/>
      <c r="BE116" s="60" t="e">
        <f t="shared" ca="1" si="59"/>
        <v>#NAME?</v>
      </c>
      <c r="BG116" s="57" t="e">
        <f ca="1">BG18+#REF!+BG35+BG48+BG70+BG93</f>
        <v>#NAME?</v>
      </c>
      <c r="BH116" s="62"/>
      <c r="BI116" s="59" t="e">
        <f ca="1">BI18+#REF!+BI35+BI48+BI70+BI93</f>
        <v>#NAME?</v>
      </c>
      <c r="BJ116" s="201"/>
      <c r="BK116" s="60" t="e">
        <f t="shared" ca="1" si="57"/>
        <v>#NAME?</v>
      </c>
      <c r="BL116" s="63"/>
      <c r="BN116" s="57" t="e">
        <f ca="1">BN18+#REF!+BN35+BN48+BN70+BN93</f>
        <v>#NAME?</v>
      </c>
      <c r="BO116" s="62"/>
      <c r="BP116" s="59" t="e">
        <f ca="1">BP18+#REF!+BP35+BP48+BP70+BP93</f>
        <v>#NAME?</v>
      </c>
      <c r="BQ116" s="201"/>
      <c r="BR116" s="60" t="e">
        <f t="shared" ca="1" si="58"/>
        <v>#NAME?</v>
      </c>
      <c r="BS116" s="63"/>
    </row>
    <row r="117" spans="1:71" s="17" customFormat="1" ht="14.4" outlineLevel="3" thickBot="1">
      <c r="D117" s="202" t="s">
        <v>363</v>
      </c>
      <c r="E117" s="203" t="e">
        <f ca="1">SUM(E101:E116)-E103</f>
        <v>#NAME?</v>
      </c>
      <c r="F117" s="204"/>
      <c r="G117" s="205" t="e">
        <f ca="1">SUM(G101:G116)-G103</f>
        <v>#NAME?</v>
      </c>
      <c r="H117" s="204"/>
      <c r="I117" s="206" t="e">
        <f t="shared" ca="1" si="49"/>
        <v>#NAME?</v>
      </c>
      <c r="J117" s="175"/>
      <c r="K117" s="203" t="e">
        <f ca="1">SUM(K101:K116)-K103</f>
        <v>#NAME?</v>
      </c>
      <c r="L117" s="204"/>
      <c r="M117" s="205" t="e">
        <f ca="1">SUM(M101:M116)-M103</f>
        <v>#NAME?</v>
      </c>
      <c r="N117" s="207"/>
      <c r="O117" s="206" t="e">
        <f t="shared" ca="1" si="50"/>
        <v>#NAME?</v>
      </c>
      <c r="P117" s="53"/>
      <c r="Q117" s="203" t="e">
        <f ca="1">SUM(Q101:Q116)-Q103</f>
        <v>#NAME?</v>
      </c>
      <c r="R117" s="204"/>
      <c r="S117" s="205" t="e">
        <f ca="1">SUM(S101:S116)-S103</f>
        <v>#NAME?</v>
      </c>
      <c r="T117" s="207"/>
      <c r="U117" s="206" t="e">
        <f t="shared" ca="1" si="51"/>
        <v>#NAME?</v>
      </c>
      <c r="V117" s="25"/>
      <c r="W117" s="203" t="e">
        <f ca="1">SUM(W101:W116)-W103</f>
        <v>#NAME?</v>
      </c>
      <c r="X117" s="204"/>
      <c r="Y117" s="205" t="e">
        <f ca="1">SUM(Y101:Y116)-Y103</f>
        <v>#NAME?</v>
      </c>
      <c r="Z117" s="207"/>
      <c r="AA117" s="206" t="e">
        <f t="shared" ca="1" si="52"/>
        <v>#NAME?</v>
      </c>
      <c r="AB117" s="53"/>
      <c r="AC117" s="203" t="e">
        <f ca="1">SUM(AC101:AC116)-AC103</f>
        <v>#NAME?</v>
      </c>
      <c r="AD117" s="204"/>
      <c r="AE117" s="205" t="e">
        <f ca="1">SUM(AE101:AE116)-AE103</f>
        <v>#NAME?</v>
      </c>
      <c r="AF117" s="207"/>
      <c r="AG117" s="206" t="e">
        <f t="shared" ca="1" si="53"/>
        <v>#NAME?</v>
      </c>
      <c r="AH117" s="53"/>
      <c r="AI117" s="203" t="e">
        <f ca="1">SUM(AI101:AI116)-AI103</f>
        <v>#NAME?</v>
      </c>
      <c r="AJ117" s="204"/>
      <c r="AK117" s="205" t="e">
        <f ca="1">SUM(AK101:AK116)-AK103</f>
        <v>#NAME?</v>
      </c>
      <c r="AL117" s="207"/>
      <c r="AM117" s="206" t="e">
        <f t="shared" ca="1" si="54"/>
        <v>#NAME?</v>
      </c>
      <c r="AN117" s="53"/>
      <c r="AO117" s="203" t="e">
        <f ca="1">SUM(AO101:AO116)-AO103</f>
        <v>#NAME?</v>
      </c>
      <c r="AP117" s="204"/>
      <c r="AQ117" s="205" t="e">
        <f ca="1">SUM(AQ101:AQ116)-AQ103</f>
        <v>#NAME?</v>
      </c>
      <c r="AR117" s="207"/>
      <c r="AS117" s="206" t="e">
        <f t="shared" ca="1" si="55"/>
        <v>#NAME?</v>
      </c>
      <c r="AT117" s="53"/>
      <c r="AU117" s="203" t="e">
        <f ca="1">SUM(AU101:AU116)-AU103</f>
        <v>#NAME?</v>
      </c>
      <c r="AV117" s="204"/>
      <c r="AW117" s="205" t="e">
        <f ca="1">SUM(AW101:AW116)-AW103</f>
        <v>#NAME?</v>
      </c>
      <c r="AX117" s="207"/>
      <c r="AY117" s="206" t="e">
        <f t="shared" ca="1" si="56"/>
        <v>#NAME?</v>
      </c>
      <c r="BA117" s="203" t="e">
        <f ca="1">SUM(BA101:BA116)-BA103</f>
        <v>#NAME?</v>
      </c>
      <c r="BB117" s="204"/>
      <c r="BC117" s="205" t="e">
        <f ca="1">SUM(BC101:BC116)-BC103</f>
        <v>#NAME?</v>
      </c>
      <c r="BD117" s="51"/>
      <c r="BE117" s="206" t="e">
        <f t="shared" ca="1" si="59"/>
        <v>#NAME?</v>
      </c>
      <c r="BG117" s="203" t="e">
        <f ca="1">SUM(BG101:BG116)-BG103</f>
        <v>#NAME?</v>
      </c>
      <c r="BH117" s="204"/>
      <c r="BI117" s="205" t="e">
        <f ca="1">SUM(BI101:BI116)-BI103</f>
        <v>#NAME?</v>
      </c>
      <c r="BJ117" s="207"/>
      <c r="BK117" s="206" t="e">
        <f t="shared" ca="1" si="57"/>
        <v>#NAME?</v>
      </c>
      <c r="BL117" s="53"/>
      <c r="BN117" s="203" t="e">
        <f ca="1">SUM(BN101:BN116)-BN103</f>
        <v>#NAME?</v>
      </c>
      <c r="BO117" s="204"/>
      <c r="BP117" s="205" t="e">
        <f ca="1">SUM(BP101:BP116)-BP103</f>
        <v>#NAME?</v>
      </c>
      <c r="BQ117" s="207"/>
      <c r="BR117" s="206" t="e">
        <f t="shared" ca="1" si="58"/>
        <v>#NAME?</v>
      </c>
      <c r="BS117" s="53"/>
    </row>
    <row r="118" spans="1:71" s="157" customFormat="1" outlineLevel="4">
      <c r="D118" s="153"/>
      <c r="E118" s="154" t="e">
        <f ca="1">E117-E95</f>
        <v>#NAME?</v>
      </c>
      <c r="F118" s="208"/>
      <c r="G118" s="154" t="e">
        <f ca="1">G117-G95</f>
        <v>#NAME?</v>
      </c>
      <c r="H118" s="208"/>
      <c r="I118" s="154" t="e">
        <f t="shared" ca="1" si="49"/>
        <v>#NAME?</v>
      </c>
      <c r="J118" s="209"/>
      <c r="K118" s="154" t="e">
        <f ca="1">K117-K95</f>
        <v>#NAME?</v>
      </c>
      <c r="L118" s="154"/>
      <c r="M118" s="154" t="e">
        <f ca="1">M117-M95</f>
        <v>#NAME?</v>
      </c>
      <c r="N118" s="154"/>
      <c r="O118" s="154" t="e">
        <f ca="1">O117-O95</f>
        <v>#NAME?</v>
      </c>
      <c r="P118" s="154"/>
      <c r="Q118" s="154" t="e">
        <f ca="1">Q117-Q95</f>
        <v>#NAME?</v>
      </c>
      <c r="R118" s="154"/>
      <c r="S118" s="154" t="e">
        <f ca="1">S117-S95</f>
        <v>#NAME?</v>
      </c>
      <c r="T118" s="154"/>
      <c r="U118" s="154" t="e">
        <f ca="1">U117-U95</f>
        <v>#NAME?</v>
      </c>
      <c r="V118" s="25"/>
      <c r="W118" s="154" t="e">
        <f ca="1">W117-W95</f>
        <v>#NAME?</v>
      </c>
      <c r="X118" s="154"/>
      <c r="Y118" s="154" t="e">
        <f ca="1">Y117-Y95</f>
        <v>#NAME?</v>
      </c>
      <c r="Z118" s="154"/>
      <c r="AA118" s="154" t="e">
        <f ca="1">AA117-AA95</f>
        <v>#NAME?</v>
      </c>
      <c r="AB118" s="154"/>
      <c r="AC118" s="154" t="e">
        <f ca="1">AC117-AC95</f>
        <v>#NAME?</v>
      </c>
      <c r="AD118" s="154"/>
      <c r="AE118" s="154" t="e">
        <f ca="1">AE117-AE95</f>
        <v>#NAME?</v>
      </c>
      <c r="AF118" s="154"/>
      <c r="AG118" s="154" t="e">
        <f ca="1">AG117-AG95</f>
        <v>#NAME?</v>
      </c>
      <c r="AH118" s="154"/>
      <c r="AI118" s="154" t="e">
        <f ca="1">AI117-AI95</f>
        <v>#NAME?</v>
      </c>
      <c r="AJ118" s="154"/>
      <c r="AK118" s="154" t="e">
        <f ca="1">AK117-AK95</f>
        <v>#NAME?</v>
      </c>
      <c r="AL118" s="154"/>
      <c r="AM118" s="154" t="e">
        <f ca="1">AM117-AM95</f>
        <v>#NAME?</v>
      </c>
      <c r="AN118" s="154"/>
      <c r="AO118" s="154" t="e">
        <f ca="1">AO117-AO95</f>
        <v>#NAME?</v>
      </c>
      <c r="AP118" s="154"/>
      <c r="AQ118" s="154" t="e">
        <f ca="1">AQ117-AQ95</f>
        <v>#NAME?</v>
      </c>
      <c r="AR118" s="154"/>
      <c r="AS118" s="154" t="e">
        <f ca="1">AS117-AS95</f>
        <v>#NAME?</v>
      </c>
      <c r="AT118" s="154"/>
      <c r="AU118" s="154" t="e">
        <f ca="1">AU117-AU95</f>
        <v>#NAME?</v>
      </c>
      <c r="AV118" s="154"/>
      <c r="AW118" s="154" t="e">
        <f ca="1">AW117-AW95</f>
        <v>#NAME?</v>
      </c>
      <c r="AX118" s="154"/>
      <c r="AY118" s="154" t="e">
        <f ca="1">AY117-AY95</f>
        <v>#NAME?</v>
      </c>
      <c r="BA118" s="154" t="e">
        <f ca="1">BA117-BA95</f>
        <v>#NAME?</v>
      </c>
      <c r="BB118" s="154"/>
      <c r="BC118" s="154" t="e">
        <f ca="1">BC117-BC95</f>
        <v>#NAME?</v>
      </c>
      <c r="BD118" s="51"/>
      <c r="BE118" s="154" t="e">
        <f ca="1">BE117-BE95</f>
        <v>#NAME?</v>
      </c>
      <c r="BG118" s="154" t="e">
        <f ca="1">BG117-BG95</f>
        <v>#NAME?</v>
      </c>
      <c r="BH118" s="154"/>
      <c r="BI118" s="154" t="e">
        <f ca="1">BI117-BI95</f>
        <v>#NAME?</v>
      </c>
      <c r="BJ118" s="154"/>
      <c r="BK118" s="154" t="e">
        <f ca="1">BK117-BK95</f>
        <v>#NAME?</v>
      </c>
      <c r="BL118" s="154"/>
      <c r="BN118" s="154" t="e">
        <f ca="1">BN117-BN95</f>
        <v>#NAME?</v>
      </c>
      <c r="BO118" s="154"/>
      <c r="BP118" s="154" t="e">
        <f ca="1">BP117-BP95</f>
        <v>#NAME?</v>
      </c>
      <c r="BQ118" s="154"/>
      <c r="BR118" s="154" t="e">
        <f ca="1">BR117-BR95</f>
        <v>#NAME?</v>
      </c>
      <c r="BS118" s="154"/>
    </row>
    <row r="119" spans="1:71" ht="13.65" customHeight="1" outlineLevel="4">
      <c r="D119" s="210"/>
      <c r="E119" s="211"/>
      <c r="F119" s="211">
        <f>+F117-T101-F111</f>
        <v>0</v>
      </c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5"/>
      <c r="W119" s="195" t="e">
        <f ca="1">+W101</f>
        <v>#NAME?</v>
      </c>
      <c r="X119" s="51"/>
      <c r="Y119" s="193" t="e">
        <f ca="1">+Y116+Y101</f>
        <v>#NAME?</v>
      </c>
      <c r="Z119" s="212"/>
      <c r="AA119" s="30"/>
      <c r="AB119" s="212"/>
      <c r="AC119" s="195" t="e">
        <f ca="1">+AC101</f>
        <v>#NAME?</v>
      </c>
      <c r="AD119" s="51"/>
      <c r="AE119" s="193" t="e">
        <f ca="1">+AE116+AE101</f>
        <v>#NAME?</v>
      </c>
      <c r="AF119" s="212"/>
      <c r="AG119" s="30"/>
      <c r="AH119" s="212"/>
      <c r="AI119" s="195" t="e">
        <f ca="1">+AI101</f>
        <v>#NAME?</v>
      </c>
      <c r="AJ119" s="51"/>
      <c r="AK119" s="193" t="e">
        <f ca="1">+AK116+AK101</f>
        <v>#NAME?</v>
      </c>
      <c r="AL119" s="212"/>
      <c r="AM119" s="30"/>
      <c r="AN119" s="212"/>
      <c r="AO119" s="195" t="e">
        <f ca="1">+AO101</f>
        <v>#NAME?</v>
      </c>
      <c r="AP119" s="51"/>
      <c r="AQ119" s="193" t="e">
        <f ca="1">+AQ116+AQ101</f>
        <v>#NAME?</v>
      </c>
      <c r="AR119" s="212"/>
      <c r="AS119" s="30"/>
      <c r="AT119" s="212"/>
      <c r="AU119" s="213"/>
      <c r="AV119" s="51"/>
      <c r="AW119" s="213"/>
      <c r="AX119" s="212"/>
      <c r="AY119" s="30"/>
      <c r="BA119" s="212"/>
      <c r="BB119" s="212"/>
      <c r="BC119" s="212"/>
      <c r="BD119" s="51"/>
      <c r="BE119" s="30"/>
      <c r="BG119" s="195" t="e">
        <f ca="1">+BG101</f>
        <v>#NAME?</v>
      </c>
      <c r="BH119" s="51"/>
      <c r="BI119" s="193" t="e">
        <f ca="1">+BI116+BI101</f>
        <v>#NAME?</v>
      </c>
      <c r="BJ119" s="212"/>
      <c r="BK119" s="30"/>
      <c r="BL119" s="212"/>
      <c r="BN119" s="195" t="e">
        <f ca="1">+BN101</f>
        <v>#NAME?</v>
      </c>
      <c r="BO119" s="51"/>
      <c r="BP119" s="193" t="e">
        <f ca="1">+BP116+BP101</f>
        <v>#NAME?</v>
      </c>
      <c r="BQ119" s="212"/>
      <c r="BR119" s="30"/>
      <c r="BS119" s="212"/>
    </row>
    <row r="120" spans="1:71" ht="14.4" outlineLevel="2" thickBot="1">
      <c r="E120" s="214"/>
      <c r="G120" s="214"/>
      <c r="I120" s="214"/>
      <c r="K120" s="214"/>
      <c r="M120" s="214"/>
      <c r="O120" s="214"/>
      <c r="P120" s="212"/>
      <c r="Q120" s="214"/>
      <c r="S120" s="214"/>
      <c r="U120" s="214"/>
      <c r="V120" s="25"/>
      <c r="W120" s="195" t="e">
        <f ca="1">+W119-18600</f>
        <v>#NAME?</v>
      </c>
      <c r="X120" s="51"/>
      <c r="Y120" s="193" t="e">
        <f ca="1">+Y119</f>
        <v>#NAME?</v>
      </c>
      <c r="Z120" s="214"/>
      <c r="AA120" s="193" t="e">
        <f ca="1">+W120-Y120</f>
        <v>#NAME?</v>
      </c>
      <c r="AB120" s="212"/>
      <c r="AC120" s="195" t="e">
        <f ca="1">+AC119-18600</f>
        <v>#NAME?</v>
      </c>
      <c r="AD120" s="51"/>
      <c r="AE120" s="193" t="e">
        <f ca="1">+AE119</f>
        <v>#NAME?</v>
      </c>
      <c r="AF120" s="214"/>
      <c r="AG120" s="193" t="e">
        <f ca="1">+AC120-AE120</f>
        <v>#NAME?</v>
      </c>
      <c r="AH120" s="212"/>
      <c r="AI120" s="195" t="e">
        <f ca="1">+AI119-18600</f>
        <v>#NAME?</v>
      </c>
      <c r="AJ120" s="51"/>
      <c r="AK120" s="193" t="e">
        <f ca="1">+AK119</f>
        <v>#NAME?</v>
      </c>
      <c r="AL120" s="214"/>
      <c r="AM120" s="193" t="e">
        <f ca="1">+AI120-AK120</f>
        <v>#NAME?</v>
      </c>
      <c r="AN120" s="212"/>
      <c r="AO120" s="195" t="e">
        <f ca="1">+AO119-18600</f>
        <v>#NAME?</v>
      </c>
      <c r="AP120" s="51"/>
      <c r="AQ120" s="193" t="e">
        <f ca="1">+AQ119</f>
        <v>#NAME?</v>
      </c>
      <c r="AR120" s="214"/>
      <c r="AS120" s="193" t="e">
        <f ca="1">+AO120-AQ120</f>
        <v>#NAME?</v>
      </c>
      <c r="AT120" s="212"/>
      <c r="AU120" s="213"/>
      <c r="AV120" s="51"/>
      <c r="AW120" s="213"/>
      <c r="AX120" s="214"/>
      <c r="AY120" s="213"/>
      <c r="BA120" s="214"/>
      <c r="BC120" s="214"/>
      <c r="BD120" s="51"/>
      <c r="BE120" s="214"/>
      <c r="BG120" s="195" t="e">
        <f ca="1">+BG119-18600</f>
        <v>#NAME?</v>
      </c>
      <c r="BH120" s="51"/>
      <c r="BI120" s="193" t="e">
        <f ca="1">+BI119</f>
        <v>#NAME?</v>
      </c>
      <c r="BJ120" s="214"/>
      <c r="BK120" s="193" t="e">
        <f ca="1">+BG120-BI120</f>
        <v>#NAME?</v>
      </c>
      <c r="BL120" s="212"/>
      <c r="BN120" s="195" t="e">
        <f ca="1">+BN119-18600</f>
        <v>#NAME?</v>
      </c>
      <c r="BO120" s="51"/>
      <c r="BP120" s="193" t="e">
        <f ca="1">+BP119</f>
        <v>#NAME?</v>
      </c>
      <c r="BQ120" s="214"/>
      <c r="BR120" s="193" t="e">
        <f ca="1">+BN120-BP120</f>
        <v>#NAME?</v>
      </c>
      <c r="BS120" s="212"/>
    </row>
    <row r="121" spans="1:71" s="215" customFormat="1" ht="16.2" outlineLevel="1" thickBot="1">
      <c r="D121" s="216" t="s">
        <v>374</v>
      </c>
      <c r="E121" s="217" t="e">
        <f ca="1">+E95+E99</f>
        <v>#NAME?</v>
      </c>
      <c r="F121" s="218"/>
      <c r="G121" s="217" t="e">
        <f ca="1">+G95</f>
        <v>#NAME?</v>
      </c>
      <c r="H121" s="218"/>
      <c r="I121" s="219" t="e">
        <f t="shared" ca="1" si="49"/>
        <v>#NAME?</v>
      </c>
      <c r="J121" s="220"/>
      <c r="K121" s="217" t="e">
        <f ca="1">+K95+K99</f>
        <v>#NAME?</v>
      </c>
      <c r="L121" s="218"/>
      <c r="M121" s="217" t="e">
        <f ca="1">+M95</f>
        <v>#NAME?</v>
      </c>
      <c r="N121" s="218"/>
      <c r="O121" s="219" t="e">
        <f ca="1">K121-M121</f>
        <v>#NAME?</v>
      </c>
      <c r="P121" s="221"/>
      <c r="Q121" s="217" t="e">
        <f ca="1">+Q95+Q99</f>
        <v>#NAME?</v>
      </c>
      <c r="R121" s="218"/>
      <c r="S121" s="217" t="e">
        <f ca="1">+S95</f>
        <v>#NAME?</v>
      </c>
      <c r="T121" s="218"/>
      <c r="U121" s="219" t="e">
        <f ca="1">Q121-S121</f>
        <v>#NAME?</v>
      </c>
      <c r="V121" s="35"/>
      <c r="W121" s="217"/>
      <c r="X121" s="217"/>
      <c r="Y121" s="217"/>
      <c r="Z121" s="222"/>
      <c r="AA121" s="219"/>
      <c r="AB121" s="221"/>
      <c r="AC121" s="217"/>
      <c r="AD121" s="217"/>
      <c r="AE121" s="217"/>
      <c r="AF121" s="222"/>
      <c r="AG121" s="219"/>
      <c r="AH121" s="221"/>
      <c r="AI121" s="217"/>
      <c r="AJ121" s="217"/>
      <c r="AK121" s="217"/>
      <c r="AL121" s="222"/>
      <c r="AM121" s="219"/>
      <c r="AN121" s="221"/>
      <c r="AO121" s="217"/>
      <c r="AP121" s="217"/>
      <c r="AQ121" s="217"/>
      <c r="AR121" s="222"/>
      <c r="AS121" s="219"/>
      <c r="AT121" s="221"/>
      <c r="AU121" s="217"/>
      <c r="AV121" s="217"/>
      <c r="AW121" s="217"/>
      <c r="AX121" s="222"/>
      <c r="AY121" s="219"/>
      <c r="BA121" s="217"/>
      <c r="BB121" s="222"/>
      <c r="BC121" s="223"/>
      <c r="BD121" s="51"/>
      <c r="BE121" s="219" t="e">
        <f ca="1">+BE95+BE99</f>
        <v>#NAME?</v>
      </c>
      <c r="BG121" s="217"/>
      <c r="BH121" s="217"/>
      <c r="BI121" s="217"/>
      <c r="BJ121" s="222"/>
      <c r="BK121" s="219"/>
      <c r="BL121" s="221"/>
      <c r="BN121" s="217"/>
      <c r="BO121" s="217"/>
      <c r="BP121" s="217"/>
      <c r="BQ121" s="222"/>
      <c r="BR121" s="219"/>
      <c r="BS121" s="221"/>
    </row>
    <row r="122" spans="1:71" s="17" customFormat="1" outlineLevel="1">
      <c r="D122" s="224" t="s">
        <v>375</v>
      </c>
      <c r="E122" s="225" t="e">
        <f ca="1">+E95-E94-E88-E91-E93</f>
        <v>#NAME?</v>
      </c>
      <c r="F122" s="226" t="e">
        <f>+F95-F94-#REF!-F88-F91</f>
        <v>#REF!</v>
      </c>
      <c r="G122" s="227" t="e">
        <f ca="1">+G95-G94-G88-G91-G93</f>
        <v>#NAME?</v>
      </c>
      <c r="H122" s="226" t="e">
        <f>+H95-H94-#REF!-H88-H91-H93</f>
        <v>#REF!</v>
      </c>
      <c r="I122" s="228" t="e">
        <f ca="1">+I95-I94-I88-I91-I93</f>
        <v>#NAME?</v>
      </c>
      <c r="J122" s="16"/>
      <c r="K122" s="225" t="e">
        <f ca="1">+K95-K94-K88-K91-K93</f>
        <v>#NAME?</v>
      </c>
      <c r="L122" s="226" t="e">
        <f>+L95-L94-#REF!-L88-L91-L93</f>
        <v>#REF!</v>
      </c>
      <c r="M122" s="227" t="e">
        <f ca="1">+M95-M94-M88-M91-M93</f>
        <v>#NAME?</v>
      </c>
      <c r="N122" s="229"/>
      <c r="O122" s="228" t="e">
        <f ca="1">+O95-O94-O88-O91-O93</f>
        <v>#NAME?</v>
      </c>
      <c r="P122" s="19"/>
      <c r="Q122" s="230" t="e">
        <f ca="1">+Q95-Q94-Q88-Q91-Q93</f>
        <v>#NAME?</v>
      </c>
      <c r="R122" s="226" t="e">
        <f>+R95-R94-#REF!-R88-R91-R93</f>
        <v>#REF!</v>
      </c>
      <c r="S122" s="231" t="e">
        <f ca="1">+S95-S94-S88-S91-S93</f>
        <v>#NAME?</v>
      </c>
      <c r="T122" s="229"/>
      <c r="U122" s="232" t="e">
        <f ca="1">+U95-U94-U88-U91-U93</f>
        <v>#NAME?</v>
      </c>
      <c r="W122" s="230" t="e">
        <f ca="1">+W95-W94-#REF!-W88-W91-W93</f>
        <v>#NAME?</v>
      </c>
      <c r="X122" s="226" t="e">
        <f>+X95-X94-#REF!-X88-X91-X93</f>
        <v>#REF!</v>
      </c>
      <c r="Y122" s="231" t="e">
        <f ca="1">+Y95-Y94-#REF!-Y88-Y91-Y93</f>
        <v>#NAME?</v>
      </c>
      <c r="Z122" s="229"/>
      <c r="AA122" s="232" t="e">
        <f ca="1">+AA95-AA94-#REF!-AA88-AA91-AA93</f>
        <v>#NAME?</v>
      </c>
      <c r="AB122" s="19"/>
      <c r="AC122" s="230" t="e">
        <f ca="1">+AC95-AC94-#REF!-AC88-AC91-AC93</f>
        <v>#NAME?</v>
      </c>
      <c r="AD122" s="226" t="e">
        <f>+AD95-AD94-#REF!-AD88-AD91-AD93</f>
        <v>#REF!</v>
      </c>
      <c r="AE122" s="231" t="e">
        <f ca="1">+AE95-AE94-#REF!-AE88-AE91-AE93</f>
        <v>#NAME?</v>
      </c>
      <c r="AF122" s="229"/>
      <c r="AG122" s="232" t="e">
        <f ca="1">+AG95-AG94-#REF!-AG88-AG91-AG93</f>
        <v>#NAME?</v>
      </c>
      <c r="AH122" s="19"/>
      <c r="AI122" s="230" t="e">
        <f ca="1">+AI95-AI94-#REF!-AI88-AI91-AI93</f>
        <v>#NAME?</v>
      </c>
      <c r="AJ122" s="226" t="e">
        <f>+AJ95-AJ94-#REF!-AJ88-AJ91-AJ93</f>
        <v>#REF!</v>
      </c>
      <c r="AK122" s="231" t="e">
        <f ca="1">+AK95-AK94-#REF!-AK88-AK91-AK93</f>
        <v>#NAME?</v>
      </c>
      <c r="AL122" s="229"/>
      <c r="AM122" s="232" t="e">
        <f ca="1">+AM95-AM94-#REF!-AM88-AM91-AM93</f>
        <v>#NAME?</v>
      </c>
      <c r="AN122" s="19"/>
      <c r="AO122" s="230" t="e">
        <f ca="1">+AO95-AO94-#REF!-AO88-AO91-AO93</f>
        <v>#NAME?</v>
      </c>
      <c r="AP122" s="226" t="e">
        <f>+AP95-AP94-#REF!-AP88-AP91-AP93</f>
        <v>#REF!</v>
      </c>
      <c r="AQ122" s="231" t="e">
        <f ca="1">+AQ95-AQ94-#REF!-AQ88-AQ91-AQ93</f>
        <v>#NAME?</v>
      </c>
      <c r="AR122" s="229"/>
      <c r="AS122" s="232" t="e">
        <f ca="1">+AS95-AS94-#REF!-AS88-AS91-AS93</f>
        <v>#NAME?</v>
      </c>
      <c r="AT122" s="19"/>
      <c r="AU122" s="233"/>
      <c r="AV122" s="234"/>
      <c r="AW122" s="233"/>
      <c r="AX122" s="16"/>
      <c r="AY122" s="235"/>
      <c r="BA122" s="230" t="e">
        <f t="shared" ref="BA122:BA129" ca="1" si="60">+Q122-AU122</f>
        <v>#NAME?</v>
      </c>
      <c r="BB122" s="226"/>
      <c r="BC122" s="231" t="e">
        <f t="shared" ref="BC122:BC129" ca="1" si="61">+S122-AW122</f>
        <v>#NAME?</v>
      </c>
      <c r="BD122" s="51"/>
      <c r="BE122" s="232" t="e">
        <f t="shared" ref="BE122:BE129" ca="1" si="62">BA122-BC122</f>
        <v>#NAME?</v>
      </c>
      <c r="BG122" s="230" t="e">
        <f ca="1">+BG95-BG94-#REF!-BG88-BG91-BG93</f>
        <v>#NAME?</v>
      </c>
      <c r="BH122" s="226" t="e">
        <f>+BH95-BH94-#REF!-BH88-BH91-BH93</f>
        <v>#REF!</v>
      </c>
      <c r="BI122" s="231" t="e">
        <f ca="1">+BI95-BI94-#REF!-BI88-BI91-BI93</f>
        <v>#NAME?</v>
      </c>
      <c r="BJ122" s="229"/>
      <c r="BK122" s="232" t="e">
        <f ca="1">+BK95-BK94-#REF!-BK88-BK91-BK93</f>
        <v>#NAME?</v>
      </c>
      <c r="BL122" s="19"/>
      <c r="BN122" s="230" t="e">
        <f ca="1">+BN95-BN94-#REF!-BN88-BN91-BN93</f>
        <v>#NAME?</v>
      </c>
      <c r="BO122" s="226" t="e">
        <f>+BO95-BO94-#REF!-BO88-BO91-BO93</f>
        <v>#REF!</v>
      </c>
      <c r="BP122" s="231" t="e">
        <f ca="1">+BP95-BP94-#REF!-BP88-BP91-BP93</f>
        <v>#NAME?</v>
      </c>
      <c r="BQ122" s="229"/>
      <c r="BR122" s="232" t="e">
        <f ca="1">+BR95-BR94-#REF!-BR88-BR91-BR93</f>
        <v>#NAME?</v>
      </c>
      <c r="BS122" s="19"/>
    </row>
    <row r="123" spans="1:71" s="17" customFormat="1" outlineLevel="1">
      <c r="D123" s="236" t="s">
        <v>376</v>
      </c>
      <c r="E123" s="67" t="e">
        <f ca="1">+E122-E124</f>
        <v>#NAME?</v>
      </c>
      <c r="F123" s="51" t="e">
        <f>+F122-F124</f>
        <v>#REF!</v>
      </c>
      <c r="G123" s="69" t="e">
        <f ca="1">+G122-G124</f>
        <v>#NAME?</v>
      </c>
      <c r="H123" s="51" t="e">
        <f>+H122-H124</f>
        <v>#REF!</v>
      </c>
      <c r="I123" s="70" t="e">
        <f ca="1">+I122-I124</f>
        <v>#NAME?</v>
      </c>
      <c r="J123" s="16"/>
      <c r="K123" s="67" t="e">
        <f ca="1">+K122-K124</f>
        <v>#NAME?</v>
      </c>
      <c r="L123" s="51" t="e">
        <f>+L122-L124</f>
        <v>#REF!</v>
      </c>
      <c r="M123" s="69" t="e">
        <f ca="1">+M122-M124</f>
        <v>#NAME?</v>
      </c>
      <c r="N123" s="16"/>
      <c r="O123" s="70" t="e">
        <f ca="1">+O122-O124</f>
        <v>#NAME?</v>
      </c>
      <c r="P123" s="19"/>
      <c r="Q123" s="195" t="e">
        <f ca="1">+Q122-Q124</f>
        <v>#NAME?</v>
      </c>
      <c r="R123" s="51" t="e">
        <f>+R122-R124</f>
        <v>#REF!</v>
      </c>
      <c r="S123" s="193" t="e">
        <f ca="1">+S122-S124</f>
        <v>#NAME?</v>
      </c>
      <c r="T123" s="16"/>
      <c r="U123" s="94" t="e">
        <f ca="1">+U122-U124</f>
        <v>#NAME?</v>
      </c>
      <c r="W123" s="195" t="e">
        <f ca="1">+W122-W124</f>
        <v>#NAME?</v>
      </c>
      <c r="X123" s="51" t="e">
        <f>+X122-X124</f>
        <v>#REF!</v>
      </c>
      <c r="Y123" s="193" t="e">
        <f ca="1">+Y122-Y124</f>
        <v>#NAME?</v>
      </c>
      <c r="Z123" s="16"/>
      <c r="AA123" s="94" t="e">
        <f ca="1">+AA122-AA124</f>
        <v>#NAME?</v>
      </c>
      <c r="AB123" s="19"/>
      <c r="AC123" s="195" t="e">
        <f ca="1">+AC122-AC124</f>
        <v>#NAME?</v>
      </c>
      <c r="AD123" s="51" t="e">
        <f>+AD122-AD124</f>
        <v>#REF!</v>
      </c>
      <c r="AE123" s="193" t="e">
        <f ca="1">+AE122-AE124</f>
        <v>#NAME?</v>
      </c>
      <c r="AF123" s="16"/>
      <c r="AG123" s="94" t="e">
        <f ca="1">+AG122-AG124</f>
        <v>#NAME?</v>
      </c>
      <c r="AH123" s="19"/>
      <c r="AI123" s="195" t="e">
        <f ca="1">+AI122-AI124</f>
        <v>#NAME?</v>
      </c>
      <c r="AJ123" s="51" t="e">
        <f>+AJ122-AJ124</f>
        <v>#REF!</v>
      </c>
      <c r="AK123" s="193" t="e">
        <f ca="1">+AK122-AK124</f>
        <v>#NAME?</v>
      </c>
      <c r="AL123" s="16"/>
      <c r="AM123" s="94" t="e">
        <f ca="1">+AM122-AM124</f>
        <v>#NAME?</v>
      </c>
      <c r="AN123" s="19"/>
      <c r="AO123" s="195" t="e">
        <f ca="1">+AO122-AO124</f>
        <v>#NAME?</v>
      </c>
      <c r="AP123" s="51" t="e">
        <f>+AP122-AP124</f>
        <v>#REF!</v>
      </c>
      <c r="AQ123" s="193" t="e">
        <f ca="1">+AQ122-AQ124</f>
        <v>#NAME?</v>
      </c>
      <c r="AR123" s="16"/>
      <c r="AS123" s="94" t="e">
        <f ca="1">+AS122-AS124</f>
        <v>#NAME?</v>
      </c>
      <c r="AT123" s="19"/>
      <c r="AU123" s="213"/>
      <c r="AV123" s="51"/>
      <c r="AW123" s="213"/>
      <c r="AX123" s="16"/>
      <c r="AY123" s="237"/>
      <c r="BA123" s="195" t="e">
        <f t="shared" ca="1" si="60"/>
        <v>#NAME?</v>
      </c>
      <c r="BB123" s="51"/>
      <c r="BC123" s="193" t="e">
        <f t="shared" ca="1" si="61"/>
        <v>#NAME?</v>
      </c>
      <c r="BD123" s="51"/>
      <c r="BE123" s="94" t="e">
        <f t="shared" ca="1" si="62"/>
        <v>#NAME?</v>
      </c>
      <c r="BG123" s="195" t="e">
        <f ca="1">+BG122-BG124</f>
        <v>#NAME?</v>
      </c>
      <c r="BH123" s="51" t="e">
        <f>+BH122-BH124</f>
        <v>#REF!</v>
      </c>
      <c r="BI123" s="193" t="e">
        <f ca="1">+BI122-BI124</f>
        <v>#NAME?</v>
      </c>
      <c r="BJ123" s="16"/>
      <c r="BK123" s="94" t="e">
        <f ca="1">+BK122-BK124</f>
        <v>#NAME?</v>
      </c>
      <c r="BL123" s="19"/>
      <c r="BN123" s="195" t="e">
        <f ca="1">+BN122-BN124</f>
        <v>#NAME?</v>
      </c>
      <c r="BO123" s="51" t="e">
        <f>+BO122-BO124</f>
        <v>#REF!</v>
      </c>
      <c r="BP123" s="193" t="e">
        <f ca="1">+BP122-BP124</f>
        <v>#NAME?</v>
      </c>
      <c r="BQ123" s="16"/>
      <c r="BR123" s="94" t="e">
        <f ca="1">+BR122-BR124</f>
        <v>#NAME?</v>
      </c>
      <c r="BS123" s="19"/>
    </row>
    <row r="124" spans="1:71" s="17" customFormat="1" outlineLevel="1">
      <c r="A124" s="17" t="s">
        <v>377</v>
      </c>
      <c r="B124" s="17" t="s">
        <v>378</v>
      </c>
      <c r="D124" s="236" t="s">
        <v>379</v>
      </c>
      <c r="E124" s="67" t="e">
        <f ca="1">_xll.GetCtData("CO-AMOUNT","CONS-AMOUNT",$A$1:$A$4,$A124:$B124,E$5:E$10,"#26538,6913335218")</f>
        <v>#NAME?</v>
      </c>
      <c r="F124" s="51"/>
      <c r="G124" s="69" t="e">
        <f ca="1">_xll.GetCtData("CO-AMOUNT","CONS-AMOUNT",$A$1:$A$4,$A124:$B124,G$5:G$10,"#28013,1723037034")</f>
        <v>#NAME?</v>
      </c>
      <c r="H124" s="51"/>
      <c r="I124" s="70" t="e">
        <f ca="1">E124-G124</f>
        <v>#NAME?</v>
      </c>
      <c r="J124" s="16"/>
      <c r="K124" s="67" t="e">
        <f ca="1">_xll.GetCtData("CO-AMOUNT","CONS-AMOUNT",$A$1:$A$4,$A124:$B124,K$5:K$10,"#-36373,3845625682")</f>
        <v>#NAME?</v>
      </c>
      <c r="L124" s="51"/>
      <c r="M124" s="69" t="e">
        <f ca="1">_xll.GetCtData("CO-AMOUNT","CONS-AMOUNT",$A$1:$A$4,$A124:$B124,M$5:M$10,"#-37468,6628875349")</f>
        <v>#NAME?</v>
      </c>
      <c r="N124" s="16"/>
      <c r="O124" s="70" t="e">
        <f ca="1">K124-M124</f>
        <v>#NAME?</v>
      </c>
      <c r="P124" s="19"/>
      <c r="Q124" s="195" t="e">
        <f ca="1">_xll.GetCtData("CO-AMOUNT","CONS-AMOUNT",$A$1:$A$4,$A124:$B124,Q$5:Q$10,"#-10021,6108881051")</f>
        <v>#NAME?</v>
      </c>
      <c r="R124" s="51"/>
      <c r="S124" s="193" t="e">
        <f ca="1">_xll.GetCtData("CO-AMOUNT","CONS-AMOUNT",$A$1:$A$4,$A124:$B124,S$5:S$10,"#-9386,83137077782")</f>
        <v>#NAME?</v>
      </c>
      <c r="T124" s="16"/>
      <c r="U124" s="94" t="e">
        <f ca="1">Q124-S124</f>
        <v>#NAME?</v>
      </c>
      <c r="W124" s="195" t="e">
        <f ca="1">_xll.GetCtData("CO-AMOUNT","CONS-AMOUNT",$A$1:$A$4,$A124:$B124,W$5:W$10,"#-144,995614786716")</f>
        <v>#NAME?</v>
      </c>
      <c r="X124" s="51"/>
      <c r="Y124" s="193" t="e">
        <f ca="1">_xll.GetCtData("CO-AMOUNT","CONS-AMOUNT",$A$1:$A$4,$A124:$B124,Y$5:Y$10,"#-142,109623040263")</f>
        <v>#NAME?</v>
      </c>
      <c r="Z124" s="16"/>
      <c r="AA124" s="94" t="e">
        <f ca="1">W124-Y124</f>
        <v>#NAME?</v>
      </c>
      <c r="AB124" s="19"/>
      <c r="AC124" s="195" t="e">
        <f ca="1">_xll.GetCtData("CO-AMOUNT","CONS-AMOUNT",$A$1:$A$4,$A124:$B124,AC$5:AC$10,"#")</f>
        <v>#NAME?</v>
      </c>
      <c r="AD124" s="51"/>
      <c r="AE124" s="193" t="e">
        <f ca="1">_xll.GetCtData("CO-AMOUNT","CONS-AMOUNT",$A$1:$A$4,$A124:$B124,AE$5:AE$10,"#")</f>
        <v>#NAME?</v>
      </c>
      <c r="AF124" s="16"/>
      <c r="AG124" s="94" t="e">
        <f ca="1">AC124-AE124</f>
        <v>#NAME?</v>
      </c>
      <c r="AH124" s="19"/>
      <c r="AI124" s="195" t="e">
        <f ca="1">_xll.GetCtData("CO-AMOUNT","CONS-AMOUNT",$A$1:$A$4,$A124:$B124,AI$5:AI$10,"#205,815459241732")</f>
        <v>#NAME?</v>
      </c>
      <c r="AJ124" s="51"/>
      <c r="AK124" s="193" t="e">
        <f ca="1">_xll.GetCtData("CO-AMOUNT","CONS-AMOUNT",$A$1:$A$4,$A124:$B124,AK$5:AK$10,"#210,528930229196")</f>
        <v>#NAME?</v>
      </c>
      <c r="AL124" s="16"/>
      <c r="AM124" s="94" t="e">
        <f ca="1">AI124-AK124</f>
        <v>#NAME?</v>
      </c>
      <c r="AN124" s="19"/>
      <c r="AO124" s="195" t="e">
        <f ca="1">_xll.GetCtData("CO-AMOUNT","CONS-AMOUNT",$A$1:$A$4,$A124:$B124,AO$5:AO$10,"#-1878,03295498568")</f>
        <v>#NAME?</v>
      </c>
      <c r="AP124" s="51"/>
      <c r="AQ124" s="193" t="e">
        <f ca="1">_xll.GetCtData("CO-AMOUNT","CONS-AMOUNT",$A$1:$A$4,$A124:$B124,AQ$5:AQ$10,"#-2133,6823920605")</f>
        <v>#NAME?</v>
      </c>
      <c r="AR124" s="16"/>
      <c r="AS124" s="94" t="e">
        <f ca="1">AO124-AQ124</f>
        <v>#NAME?</v>
      </c>
      <c r="AT124" s="19"/>
      <c r="AU124" s="213"/>
      <c r="AV124" s="51"/>
      <c r="AW124" s="213"/>
      <c r="AX124" s="16"/>
      <c r="AY124" s="237"/>
      <c r="BA124" s="195" t="e">
        <f t="shared" ca="1" si="60"/>
        <v>#NAME?</v>
      </c>
      <c r="BB124" s="51"/>
      <c r="BC124" s="193" t="e">
        <f t="shared" ca="1" si="61"/>
        <v>#NAME?</v>
      </c>
      <c r="BD124" s="51"/>
      <c r="BE124" s="94" t="e">
        <f t="shared" ca="1" si="62"/>
        <v>#NAME?</v>
      </c>
      <c r="BG124" s="195" t="e">
        <f ca="1">_xll.GetCtData("CO-AMOUNT","CONS-AMOUNT",$A$1:$A$4,$A124:$B124,BG$5:BG$10,"#-1318,19325439815")</f>
        <v>#NAME?</v>
      </c>
      <c r="BH124" s="51"/>
      <c r="BI124" s="193" t="e">
        <f ca="1">_xll.GetCtData("CO-AMOUNT","CONS-AMOUNT",$A$1:$A$4,$A124:$B124,BI$5:BI$10,"#-1573,0235395992")</f>
        <v>#NAME?</v>
      </c>
      <c r="BJ124" s="16"/>
      <c r="BK124" s="94" t="e">
        <f ca="1">BG124-BI124</f>
        <v>#NAME?</v>
      </c>
      <c r="BL124" s="19"/>
      <c r="BN124" s="195" t="e">
        <f ca="1">_xll.GetCtData("CO-AMOUNT","CONS-AMOUNT",$A$1:$A$4,$A124:$B124,BN$5:BN$10,"#-559,839700587533")</f>
        <v>#NAME?</v>
      </c>
      <c r="BO124" s="51"/>
      <c r="BP124" s="193" t="e">
        <f ca="1">_xll.GetCtData("CO-AMOUNT","CONS-AMOUNT",$A$1:$A$4,$A124:$B124,BP$5:BP$10,"#-560,658852461299")</f>
        <v>#NAME?</v>
      </c>
      <c r="BQ124" s="16"/>
      <c r="BR124" s="94" t="e">
        <f ca="1">BN124-BP124</f>
        <v>#NAME?</v>
      </c>
      <c r="BS124" s="19"/>
    </row>
    <row r="125" spans="1:71" s="17" customFormat="1" outlineLevel="1">
      <c r="D125" s="238" t="s">
        <v>380</v>
      </c>
      <c r="E125" s="87" t="e">
        <f ca="1">+E126++E127+E128</f>
        <v>#NAME?</v>
      </c>
      <c r="F125" s="234" t="e">
        <f>+F126+#REF!+F127+F128</f>
        <v>#REF!</v>
      </c>
      <c r="G125" s="88" t="e">
        <f ca="1">+G126+G127+G128</f>
        <v>#NAME?</v>
      </c>
      <c r="H125" s="234" t="e">
        <f>+H126+#REF!+H127+H128</f>
        <v>#REF!</v>
      </c>
      <c r="I125" s="52" t="e">
        <f ca="1">+I126+I127+I128</f>
        <v>#NAME?</v>
      </c>
      <c r="J125" s="16"/>
      <c r="K125" s="87" t="e">
        <f ca="1">+K126+K127+K128</f>
        <v>#NAME?</v>
      </c>
      <c r="L125" s="234" t="e">
        <f>+L126+#REF!+L127+L128</f>
        <v>#REF!</v>
      </c>
      <c r="M125" s="88" t="e">
        <f ca="1">+M126+M127+M128</f>
        <v>#NAME?</v>
      </c>
      <c r="N125" s="16"/>
      <c r="O125" s="52" t="e">
        <f ca="1">+O126+O127+O128</f>
        <v>#NAME?</v>
      </c>
      <c r="P125" s="19"/>
      <c r="Q125" s="143" t="e">
        <f ca="1">+Q126+Q127+Q128</f>
        <v>#NAME?</v>
      </c>
      <c r="R125" s="234" t="e">
        <f>+R126+#REF!+R127+R128</f>
        <v>#REF!</v>
      </c>
      <c r="S125" s="144" t="e">
        <f ca="1">+S126+S127+S128</f>
        <v>#NAME?</v>
      </c>
      <c r="T125" s="16"/>
      <c r="U125" s="99" t="e">
        <f ca="1">+U126+U127+U128</f>
        <v>#NAME?</v>
      </c>
      <c r="W125" s="143" t="e">
        <f ca="1">+W126+#REF!+W127+W128</f>
        <v>#REF!</v>
      </c>
      <c r="X125" s="234" t="e">
        <f>+X126+#REF!+X127+X128</f>
        <v>#REF!</v>
      </c>
      <c r="Y125" s="144" t="e">
        <f ca="1">+Y126+#REF!+Y127+Y128</f>
        <v>#REF!</v>
      </c>
      <c r="Z125" s="16"/>
      <c r="AA125" s="99" t="e">
        <f ca="1">+AA126+#REF!+AA127+AA128</f>
        <v>#REF!</v>
      </c>
      <c r="AB125" s="19"/>
      <c r="AC125" s="143" t="e">
        <f ca="1">+AC126+#REF!+AC127+AC128</f>
        <v>#REF!</v>
      </c>
      <c r="AD125" s="234" t="e">
        <f>+AD126+#REF!+AD127+AD128</f>
        <v>#REF!</v>
      </c>
      <c r="AE125" s="144" t="e">
        <f ca="1">+AE126+#REF!+AE127+AE128</f>
        <v>#REF!</v>
      </c>
      <c r="AF125" s="16"/>
      <c r="AG125" s="99" t="e">
        <f ca="1">+AG126+#REF!+AG127+AG128</f>
        <v>#REF!</v>
      </c>
      <c r="AH125" s="19"/>
      <c r="AI125" s="143" t="e">
        <f ca="1">+AI126+#REF!+AI127+AI128</f>
        <v>#REF!</v>
      </c>
      <c r="AJ125" s="234" t="e">
        <f>+AJ126+#REF!+AJ127+AJ128</f>
        <v>#REF!</v>
      </c>
      <c r="AK125" s="144" t="e">
        <f ca="1">+AK126+#REF!+AK127+AK128</f>
        <v>#REF!</v>
      </c>
      <c r="AL125" s="16"/>
      <c r="AM125" s="99" t="e">
        <f ca="1">+AM126+#REF!+AM127+AM128</f>
        <v>#REF!</v>
      </c>
      <c r="AN125" s="19"/>
      <c r="AO125" s="143" t="e">
        <f ca="1">+AO126+#REF!+AO127+AO128</f>
        <v>#REF!</v>
      </c>
      <c r="AP125" s="234" t="e">
        <f>+AP126+#REF!+AP127+AP128</f>
        <v>#REF!</v>
      </c>
      <c r="AQ125" s="144" t="e">
        <f ca="1">+AQ126+#REF!+AQ127+AQ128</f>
        <v>#REF!</v>
      </c>
      <c r="AR125" s="16"/>
      <c r="AS125" s="99" t="e">
        <f ca="1">+AS126+#REF!+AS127+AS128</f>
        <v>#REF!</v>
      </c>
      <c r="AT125" s="19"/>
      <c r="AU125" s="233"/>
      <c r="AV125" s="234"/>
      <c r="AW125" s="233"/>
      <c r="AX125" s="16"/>
      <c r="AY125" s="235"/>
      <c r="BA125" s="143" t="e">
        <f t="shared" ca="1" si="60"/>
        <v>#NAME?</v>
      </c>
      <c r="BB125" s="234"/>
      <c r="BC125" s="144" t="e">
        <f t="shared" ca="1" si="61"/>
        <v>#NAME?</v>
      </c>
      <c r="BD125" s="51"/>
      <c r="BE125" s="99" t="e">
        <f t="shared" ca="1" si="62"/>
        <v>#NAME?</v>
      </c>
      <c r="BG125" s="143" t="e">
        <f ca="1">+BG126+#REF!+BG127+BG128</f>
        <v>#REF!</v>
      </c>
      <c r="BH125" s="234" t="e">
        <f>+BH126+#REF!+BH127+BH128</f>
        <v>#REF!</v>
      </c>
      <c r="BI125" s="144" t="e">
        <f ca="1">+BI126+#REF!+BI127+BI128</f>
        <v>#REF!</v>
      </c>
      <c r="BJ125" s="16"/>
      <c r="BK125" s="99" t="e">
        <f ca="1">+BK126+#REF!+BK127+BK128</f>
        <v>#REF!</v>
      </c>
      <c r="BL125" s="19"/>
      <c r="BN125" s="143" t="e">
        <f ca="1">+BN126+#REF!+BN127+BN128</f>
        <v>#REF!</v>
      </c>
      <c r="BO125" s="234" t="e">
        <f>+BO126+#REF!+BO127+BO128</f>
        <v>#REF!</v>
      </c>
      <c r="BP125" s="144" t="e">
        <f ca="1">+BP126+#REF!+BP127+BP128</f>
        <v>#REF!</v>
      </c>
      <c r="BQ125" s="16"/>
      <c r="BR125" s="99" t="e">
        <f ca="1">+BR126+#REF!+BR127+BR128</f>
        <v>#REF!</v>
      </c>
      <c r="BS125" s="19"/>
    </row>
    <row r="126" spans="1:71" s="17" customFormat="1" outlineLevel="1">
      <c r="D126" s="236" t="str">
        <f>+D94</f>
        <v>Group Costs</v>
      </c>
      <c r="E126" s="67" t="e">
        <f ca="1">+E94</f>
        <v>#NAME?</v>
      </c>
      <c r="F126" s="51">
        <f t="shared" ref="F126:U126" si="63">+F94</f>
        <v>0</v>
      </c>
      <c r="G126" s="69" t="e">
        <f t="shared" ca="1" si="63"/>
        <v>#NAME?</v>
      </c>
      <c r="H126" s="51">
        <f t="shared" si="63"/>
        <v>0</v>
      </c>
      <c r="I126" s="70" t="e">
        <f t="shared" ca="1" si="63"/>
        <v>#NAME?</v>
      </c>
      <c r="J126" s="16"/>
      <c r="K126" s="67" t="e">
        <f t="shared" ca="1" si="63"/>
        <v>#NAME?</v>
      </c>
      <c r="L126" s="51">
        <f t="shared" si="63"/>
        <v>0</v>
      </c>
      <c r="M126" s="69" t="e">
        <f t="shared" ca="1" si="63"/>
        <v>#NAME?</v>
      </c>
      <c r="N126" s="16"/>
      <c r="O126" s="70" t="e">
        <f t="shared" ca="1" si="63"/>
        <v>#NAME?</v>
      </c>
      <c r="P126" s="19"/>
      <c r="Q126" s="195" t="e">
        <f t="shared" ca="1" si="63"/>
        <v>#NAME?</v>
      </c>
      <c r="R126" s="51">
        <f t="shared" si="63"/>
        <v>0</v>
      </c>
      <c r="S126" s="193" t="e">
        <f t="shared" ca="1" si="63"/>
        <v>#NAME?</v>
      </c>
      <c r="T126" s="16"/>
      <c r="U126" s="94" t="e">
        <f t="shared" ca="1" si="63"/>
        <v>#NAME?</v>
      </c>
      <c r="W126" s="195">
        <f>+W94</f>
        <v>0</v>
      </c>
      <c r="X126" s="51">
        <f>+X94</f>
        <v>0</v>
      </c>
      <c r="Y126" s="193">
        <f>+Y94</f>
        <v>0</v>
      </c>
      <c r="Z126" s="16"/>
      <c r="AA126" s="94">
        <f>+AA94</f>
        <v>0</v>
      </c>
      <c r="AB126" s="19"/>
      <c r="AC126" s="195">
        <f>+AC94</f>
        <v>0</v>
      </c>
      <c r="AD126" s="51">
        <f>+AD94</f>
        <v>0</v>
      </c>
      <c r="AE126" s="193">
        <f>+AE94</f>
        <v>0</v>
      </c>
      <c r="AF126" s="16"/>
      <c r="AG126" s="94">
        <f>+AG94</f>
        <v>0</v>
      </c>
      <c r="AH126" s="19"/>
      <c r="AI126" s="195">
        <f>+AI94</f>
        <v>0</v>
      </c>
      <c r="AJ126" s="51">
        <f>+AJ94</f>
        <v>0</v>
      </c>
      <c r="AK126" s="193">
        <f>+AK94</f>
        <v>0</v>
      </c>
      <c r="AL126" s="16"/>
      <c r="AM126" s="94">
        <f>+AM94</f>
        <v>0</v>
      </c>
      <c r="AN126" s="19"/>
      <c r="AO126" s="195">
        <f>+AO94</f>
        <v>0</v>
      </c>
      <c r="AP126" s="51">
        <f>+AP94</f>
        <v>0</v>
      </c>
      <c r="AQ126" s="193">
        <f>+AQ94</f>
        <v>0</v>
      </c>
      <c r="AR126" s="16"/>
      <c r="AS126" s="94">
        <f>+AS94</f>
        <v>0</v>
      </c>
      <c r="AT126" s="19"/>
      <c r="AU126" s="213"/>
      <c r="AV126" s="51"/>
      <c r="AW126" s="213"/>
      <c r="AX126" s="16"/>
      <c r="AY126" s="237"/>
      <c r="BA126" s="195" t="e">
        <f t="shared" ca="1" si="60"/>
        <v>#NAME?</v>
      </c>
      <c r="BB126" s="51"/>
      <c r="BC126" s="193" t="e">
        <f t="shared" ca="1" si="61"/>
        <v>#NAME?</v>
      </c>
      <c r="BD126" s="51"/>
      <c r="BE126" s="94" t="e">
        <f t="shared" ca="1" si="62"/>
        <v>#NAME?</v>
      </c>
      <c r="BG126" s="195">
        <f>+BG94</f>
        <v>0</v>
      </c>
      <c r="BH126" s="51">
        <f>+BH94</f>
        <v>0</v>
      </c>
      <c r="BI126" s="193">
        <f>+BI94</f>
        <v>0</v>
      </c>
      <c r="BJ126" s="16"/>
      <c r="BK126" s="94">
        <f>+BK94</f>
        <v>0</v>
      </c>
      <c r="BL126" s="19"/>
      <c r="BN126" s="195">
        <f>+BN94</f>
        <v>0</v>
      </c>
      <c r="BO126" s="51">
        <f>+BO94</f>
        <v>0</v>
      </c>
      <c r="BP126" s="193">
        <f>+BP94</f>
        <v>0</v>
      </c>
      <c r="BQ126" s="16"/>
      <c r="BR126" s="94">
        <f>+BR94</f>
        <v>0</v>
      </c>
      <c r="BS126" s="19"/>
    </row>
    <row r="127" spans="1:71" s="17" customFormat="1" outlineLevel="1">
      <c r="D127" s="236" t="s">
        <v>86</v>
      </c>
      <c r="E127" s="67" t="e">
        <f ca="1">+E91+E88</f>
        <v>#NAME?</v>
      </c>
      <c r="F127" s="51">
        <f>+F91+F88</f>
        <v>0</v>
      </c>
      <c r="G127" s="69" t="e">
        <f ca="1">+G91+G88</f>
        <v>#NAME?</v>
      </c>
      <c r="H127" s="51" t="e">
        <f>+H91+H88</f>
        <v>#REF!</v>
      </c>
      <c r="I127" s="70" t="e">
        <f ca="1">+I91+I88</f>
        <v>#NAME?</v>
      </c>
      <c r="J127" s="16"/>
      <c r="K127" s="67" t="e">
        <f ca="1">+K91+K88</f>
        <v>#NAME?</v>
      </c>
      <c r="L127" s="51">
        <f>+L91+L88</f>
        <v>0</v>
      </c>
      <c r="M127" s="69" t="e">
        <f ca="1">+M91+M88</f>
        <v>#NAME?</v>
      </c>
      <c r="N127" s="16"/>
      <c r="O127" s="70" t="e">
        <f ca="1">+O91+O88</f>
        <v>#NAME?</v>
      </c>
      <c r="P127" s="19"/>
      <c r="Q127" s="195" t="e">
        <f ca="1">+Q91+Q88</f>
        <v>#NAME?</v>
      </c>
      <c r="R127" s="51">
        <f>+R91+R88</f>
        <v>0</v>
      </c>
      <c r="S127" s="193" t="e">
        <f ca="1">+S91+S88</f>
        <v>#NAME?</v>
      </c>
      <c r="T127" s="16"/>
      <c r="U127" s="94" t="e">
        <f ca="1">+U91+U88</f>
        <v>#NAME?</v>
      </c>
      <c r="W127" s="195" t="e">
        <f ca="1">+W91+W88</f>
        <v>#NAME?</v>
      </c>
      <c r="X127" s="51">
        <f>+X91+X88</f>
        <v>0</v>
      </c>
      <c r="Y127" s="193" t="e">
        <f ca="1">+Y91+Y88</f>
        <v>#NAME?</v>
      </c>
      <c r="Z127" s="16"/>
      <c r="AA127" s="94" t="e">
        <f ca="1">+AA91+AA88</f>
        <v>#NAME?</v>
      </c>
      <c r="AB127" s="19"/>
      <c r="AC127" s="195" t="e">
        <f ca="1">+AC91+AC88</f>
        <v>#NAME?</v>
      </c>
      <c r="AD127" s="51">
        <f>+AD91+AD88</f>
        <v>0</v>
      </c>
      <c r="AE127" s="193" t="e">
        <f ca="1">+AE91+AE88</f>
        <v>#NAME?</v>
      </c>
      <c r="AF127" s="16"/>
      <c r="AG127" s="94" t="e">
        <f ca="1">+AG91+AG88</f>
        <v>#NAME?</v>
      </c>
      <c r="AH127" s="19"/>
      <c r="AI127" s="195" t="e">
        <f ca="1">+AI91+AI88</f>
        <v>#NAME?</v>
      </c>
      <c r="AJ127" s="51">
        <f>+AJ91+AJ88</f>
        <v>0</v>
      </c>
      <c r="AK127" s="193" t="e">
        <f ca="1">+AK91+AK88</f>
        <v>#NAME?</v>
      </c>
      <c r="AL127" s="16"/>
      <c r="AM127" s="94" t="e">
        <f ca="1">+AM91+AM88</f>
        <v>#NAME?</v>
      </c>
      <c r="AN127" s="19"/>
      <c r="AO127" s="195" t="e">
        <f ca="1">+AO91+AO88</f>
        <v>#NAME?</v>
      </c>
      <c r="AP127" s="51">
        <f>+AP91+AP88</f>
        <v>0</v>
      </c>
      <c r="AQ127" s="193" t="e">
        <f ca="1">+AQ91+AQ88</f>
        <v>#NAME?</v>
      </c>
      <c r="AR127" s="16"/>
      <c r="AS127" s="94" t="e">
        <f ca="1">+AS91+AS88</f>
        <v>#NAME?</v>
      </c>
      <c r="AT127" s="19"/>
      <c r="AU127" s="213"/>
      <c r="AV127" s="51"/>
      <c r="AW127" s="213"/>
      <c r="AX127" s="16"/>
      <c r="AY127" s="237"/>
      <c r="BA127" s="195" t="e">
        <f t="shared" ca="1" si="60"/>
        <v>#NAME?</v>
      </c>
      <c r="BB127" s="51"/>
      <c r="BC127" s="193" t="e">
        <f t="shared" ca="1" si="61"/>
        <v>#NAME?</v>
      </c>
      <c r="BD127" s="51"/>
      <c r="BE127" s="94" t="e">
        <f t="shared" ca="1" si="62"/>
        <v>#NAME?</v>
      </c>
      <c r="BG127" s="195" t="e">
        <f ca="1">+BG91+BG88</f>
        <v>#NAME?</v>
      </c>
      <c r="BH127" s="51">
        <f>+BH91+BH88</f>
        <v>0</v>
      </c>
      <c r="BI127" s="193" t="e">
        <f ca="1">+BI91+BI88</f>
        <v>#NAME?</v>
      </c>
      <c r="BJ127" s="16"/>
      <c r="BK127" s="94" t="e">
        <f ca="1">+BK91+BK88</f>
        <v>#NAME?</v>
      </c>
      <c r="BL127" s="19"/>
      <c r="BN127" s="195" t="e">
        <f ca="1">+BN91+BN88</f>
        <v>#NAME?</v>
      </c>
      <c r="BO127" s="51">
        <f>+BO91+BO88</f>
        <v>0</v>
      </c>
      <c r="BP127" s="193" t="e">
        <f ca="1">+BP91+BP88</f>
        <v>#NAME?</v>
      </c>
      <c r="BQ127" s="16"/>
      <c r="BR127" s="94" t="e">
        <f ca="1">+BR91+BR88</f>
        <v>#NAME?</v>
      </c>
      <c r="BS127" s="19"/>
    </row>
    <row r="128" spans="1:71" s="17" customFormat="1" ht="14.4" outlineLevel="1" thickBot="1">
      <c r="D128" s="239" t="s">
        <v>381</v>
      </c>
      <c r="E128" s="195" t="e">
        <f ca="1">+E93</f>
        <v>#NAME?</v>
      </c>
      <c r="F128" s="51">
        <f t="shared" ref="F128:U128" si="64">+F93</f>
        <v>0</v>
      </c>
      <c r="G128" s="193" t="e">
        <f t="shared" ca="1" si="64"/>
        <v>#NAME?</v>
      </c>
      <c r="H128" s="51">
        <f t="shared" si="64"/>
        <v>0</v>
      </c>
      <c r="I128" s="94" t="e">
        <f t="shared" ca="1" si="64"/>
        <v>#NAME?</v>
      </c>
      <c r="J128" s="16"/>
      <c r="K128" s="195" t="e">
        <f t="shared" ca="1" si="64"/>
        <v>#NAME?</v>
      </c>
      <c r="L128" s="51">
        <f t="shared" si="64"/>
        <v>0</v>
      </c>
      <c r="M128" s="193" t="e">
        <f t="shared" ca="1" si="64"/>
        <v>#NAME?</v>
      </c>
      <c r="N128" s="16"/>
      <c r="O128" s="94" t="e">
        <f t="shared" ca="1" si="64"/>
        <v>#NAME?</v>
      </c>
      <c r="P128" s="19"/>
      <c r="Q128" s="195" t="e">
        <f t="shared" ca="1" si="64"/>
        <v>#NAME?</v>
      </c>
      <c r="R128" s="51">
        <f t="shared" si="64"/>
        <v>0</v>
      </c>
      <c r="S128" s="193" t="e">
        <f t="shared" ca="1" si="64"/>
        <v>#NAME?</v>
      </c>
      <c r="T128" s="16"/>
      <c r="U128" s="94" t="e">
        <f t="shared" ca="1" si="64"/>
        <v>#NAME?</v>
      </c>
      <c r="W128" s="195" t="e">
        <f ca="1">+W93</f>
        <v>#NAME?</v>
      </c>
      <c r="X128" s="51">
        <f>+X93</f>
        <v>0</v>
      </c>
      <c r="Y128" s="193" t="e">
        <f ca="1">+Y93</f>
        <v>#NAME?</v>
      </c>
      <c r="Z128" s="16"/>
      <c r="AA128" s="94" t="e">
        <f ca="1">+AA93</f>
        <v>#NAME?</v>
      </c>
      <c r="AB128" s="19"/>
      <c r="AC128" s="195" t="e">
        <f ca="1">+AC93</f>
        <v>#NAME?</v>
      </c>
      <c r="AD128" s="51">
        <f>+AD93</f>
        <v>0</v>
      </c>
      <c r="AE128" s="193" t="e">
        <f ca="1">+AE93</f>
        <v>#NAME?</v>
      </c>
      <c r="AF128" s="16"/>
      <c r="AG128" s="94" t="e">
        <f ca="1">+AG93</f>
        <v>#NAME?</v>
      </c>
      <c r="AH128" s="19"/>
      <c r="AI128" s="195" t="e">
        <f ca="1">+AI93</f>
        <v>#NAME?</v>
      </c>
      <c r="AJ128" s="51">
        <f>+AJ93</f>
        <v>0</v>
      </c>
      <c r="AK128" s="193" t="e">
        <f ca="1">+AK93</f>
        <v>#NAME?</v>
      </c>
      <c r="AL128" s="16"/>
      <c r="AM128" s="94" t="e">
        <f ca="1">+AM93</f>
        <v>#NAME?</v>
      </c>
      <c r="AN128" s="19"/>
      <c r="AO128" s="195" t="e">
        <f ca="1">+AO93</f>
        <v>#NAME?</v>
      </c>
      <c r="AP128" s="51">
        <f>+AP93</f>
        <v>0</v>
      </c>
      <c r="AQ128" s="193" t="e">
        <f ca="1">+AQ93</f>
        <v>#NAME?</v>
      </c>
      <c r="AR128" s="16"/>
      <c r="AS128" s="94" t="e">
        <f ca="1">+AS93</f>
        <v>#NAME?</v>
      </c>
      <c r="AT128" s="19"/>
      <c r="AU128" s="213"/>
      <c r="AV128" s="51"/>
      <c r="AW128" s="213"/>
      <c r="AX128" s="16"/>
      <c r="AY128" s="237"/>
      <c r="BA128" s="195" t="e">
        <f t="shared" ca="1" si="60"/>
        <v>#NAME?</v>
      </c>
      <c r="BB128" s="51"/>
      <c r="BC128" s="193" t="e">
        <f t="shared" ca="1" si="61"/>
        <v>#NAME?</v>
      </c>
      <c r="BD128" s="51"/>
      <c r="BE128" s="94" t="e">
        <f t="shared" ca="1" si="62"/>
        <v>#NAME?</v>
      </c>
      <c r="BG128" s="195" t="e">
        <f ca="1">+BG93</f>
        <v>#NAME?</v>
      </c>
      <c r="BH128" s="51">
        <f>+BH93</f>
        <v>0</v>
      </c>
      <c r="BI128" s="193" t="e">
        <f ca="1">+BI93</f>
        <v>#NAME?</v>
      </c>
      <c r="BJ128" s="16"/>
      <c r="BK128" s="94" t="e">
        <f ca="1">+BK93</f>
        <v>#NAME?</v>
      </c>
      <c r="BL128" s="19"/>
      <c r="BN128" s="195" t="e">
        <f ca="1">+BN93</f>
        <v>#NAME?</v>
      </c>
      <c r="BO128" s="51">
        <f>+BO93</f>
        <v>0</v>
      </c>
      <c r="BP128" s="193" t="e">
        <f ca="1">+BP93</f>
        <v>#NAME?</v>
      </c>
      <c r="BQ128" s="16"/>
      <c r="BR128" s="94" t="e">
        <f ca="1">+BR93</f>
        <v>#NAME?</v>
      </c>
      <c r="BS128" s="19"/>
    </row>
    <row r="129" spans="4:71" s="38" customFormat="1" ht="16.2" outlineLevel="1" thickBot="1">
      <c r="D129" s="240" t="str">
        <f>+D117</f>
        <v xml:space="preserve">Total </v>
      </c>
      <c r="E129" s="147" t="e">
        <f ca="1">+E125+E122</f>
        <v>#NAME?</v>
      </c>
      <c r="F129" s="241" t="e">
        <f>+F125+F122</f>
        <v>#REF!</v>
      </c>
      <c r="G129" s="149" t="e">
        <f ca="1">+G125+G122</f>
        <v>#NAME?</v>
      </c>
      <c r="H129" s="241" t="e">
        <f>+H125+H122</f>
        <v>#REF!</v>
      </c>
      <c r="I129" s="150" t="e">
        <f ca="1">+I125+I122</f>
        <v>#NAME?</v>
      </c>
      <c r="J129" s="16"/>
      <c r="K129" s="147" t="e">
        <f ca="1">+K125+K122</f>
        <v>#NAME?</v>
      </c>
      <c r="L129" s="241" t="e">
        <f>+L125+L122</f>
        <v>#REF!</v>
      </c>
      <c r="M129" s="149" t="e">
        <f ca="1">+M125+M122</f>
        <v>#NAME?</v>
      </c>
      <c r="N129" s="242"/>
      <c r="O129" s="219" t="e">
        <f ca="1">+O125+O122</f>
        <v>#NAME?</v>
      </c>
      <c r="P129" s="19"/>
      <c r="Q129" s="217" t="e">
        <f ca="1">+Q125+Q122</f>
        <v>#NAME?</v>
      </c>
      <c r="R129" s="241" t="e">
        <f>+R125+R122</f>
        <v>#REF!</v>
      </c>
      <c r="S129" s="223" t="e">
        <f ca="1">+S125+S122</f>
        <v>#NAME?</v>
      </c>
      <c r="T129" s="242"/>
      <c r="U129" s="219" t="e">
        <f ca="1">+U125+U122</f>
        <v>#NAME?</v>
      </c>
      <c r="W129" s="217" t="e">
        <f ca="1">+W125+W122</f>
        <v>#REF!</v>
      </c>
      <c r="X129" s="241" t="e">
        <f>+X125+X122</f>
        <v>#REF!</v>
      </c>
      <c r="Y129" s="223" t="e">
        <f ca="1">+Y125+Y122</f>
        <v>#REF!</v>
      </c>
      <c r="Z129" s="242"/>
      <c r="AA129" s="219" t="e">
        <f ca="1">+AA125+AA122</f>
        <v>#REF!</v>
      </c>
      <c r="AB129" s="19"/>
      <c r="AC129" s="217" t="e">
        <f ca="1">+AC125+AC122</f>
        <v>#REF!</v>
      </c>
      <c r="AD129" s="241" t="e">
        <f>+AD125+AD122</f>
        <v>#REF!</v>
      </c>
      <c r="AE129" s="223" t="e">
        <f ca="1">+AE125+AE122</f>
        <v>#REF!</v>
      </c>
      <c r="AF129" s="242"/>
      <c r="AG129" s="219" t="e">
        <f ca="1">+AG125+AG122</f>
        <v>#REF!</v>
      </c>
      <c r="AH129" s="19"/>
      <c r="AI129" s="217" t="e">
        <f ca="1">+AI125+AI122</f>
        <v>#REF!</v>
      </c>
      <c r="AJ129" s="241" t="e">
        <f>+AJ125+AJ122</f>
        <v>#REF!</v>
      </c>
      <c r="AK129" s="223" t="e">
        <f ca="1">+AK125+AK122</f>
        <v>#REF!</v>
      </c>
      <c r="AL129" s="242"/>
      <c r="AM129" s="219" t="e">
        <f ca="1">+AM125+AM122</f>
        <v>#REF!</v>
      </c>
      <c r="AN129" s="19"/>
      <c r="AO129" s="217" t="e">
        <f ca="1">+AO125+AO122</f>
        <v>#REF!</v>
      </c>
      <c r="AP129" s="241" t="e">
        <f>+AP125+AP122</f>
        <v>#REF!</v>
      </c>
      <c r="AQ129" s="223" t="e">
        <f ca="1">+AQ125+AQ122</f>
        <v>#REF!</v>
      </c>
      <c r="AR129" s="242"/>
      <c r="AS129" s="219" t="e">
        <f ca="1">+AS125+AS122</f>
        <v>#REF!</v>
      </c>
      <c r="AT129" s="19"/>
      <c r="AU129" s="243"/>
      <c r="AV129" s="244"/>
      <c r="AW129" s="243"/>
      <c r="AX129" s="16"/>
      <c r="AY129" s="245"/>
      <c r="BA129" s="217" t="e">
        <f t="shared" ca="1" si="60"/>
        <v>#NAME?</v>
      </c>
      <c r="BB129" s="241"/>
      <c r="BC129" s="223" t="e">
        <f t="shared" ca="1" si="61"/>
        <v>#NAME?</v>
      </c>
      <c r="BD129" s="51"/>
      <c r="BE129" s="219" t="e">
        <f t="shared" ca="1" si="62"/>
        <v>#NAME?</v>
      </c>
      <c r="BG129" s="217" t="e">
        <f ca="1">+BG125+BG122</f>
        <v>#REF!</v>
      </c>
      <c r="BH129" s="241" t="e">
        <f>+BH125+BH122</f>
        <v>#REF!</v>
      </c>
      <c r="BI129" s="223" t="e">
        <f ca="1">+BI125+BI122</f>
        <v>#REF!</v>
      </c>
      <c r="BJ129" s="242"/>
      <c r="BK129" s="219" t="e">
        <f ca="1">+BK125+BK122</f>
        <v>#REF!</v>
      </c>
      <c r="BL129" s="19"/>
      <c r="BN129" s="217" t="e">
        <f ca="1">+BN125+BN122</f>
        <v>#REF!</v>
      </c>
      <c r="BO129" s="241" t="e">
        <f>+BO125+BO122</f>
        <v>#REF!</v>
      </c>
      <c r="BP129" s="223" t="e">
        <f ca="1">+BP125+BP122</f>
        <v>#REF!</v>
      </c>
      <c r="BQ129" s="242"/>
      <c r="BR129" s="219" t="e">
        <f ca="1">+BR125+BR122</f>
        <v>#REF!</v>
      </c>
      <c r="BS129" s="19"/>
    </row>
    <row r="130" spans="4:71" outlineLevel="2">
      <c r="D130" s="153" t="s">
        <v>366</v>
      </c>
      <c r="E130" s="158" t="e">
        <f ca="1">E129-E96</f>
        <v>#NAME?</v>
      </c>
      <c r="F130" s="158"/>
      <c r="G130" s="158" t="e">
        <f ca="1">G129-G96</f>
        <v>#NAME?</v>
      </c>
      <c r="H130" s="158"/>
      <c r="I130" s="158" t="e">
        <f ca="1">I129-I96</f>
        <v>#NAME?</v>
      </c>
      <c r="J130" s="159"/>
      <c r="K130" s="158" t="e">
        <f ca="1">K129-K96</f>
        <v>#NAME?</v>
      </c>
      <c r="L130" s="158"/>
      <c r="M130" s="154" t="e">
        <f ca="1">M129-M96</f>
        <v>#NAME?</v>
      </c>
      <c r="N130" s="158"/>
      <c r="O130" s="154" t="e">
        <f ca="1">O129-O96</f>
        <v>#NAME?</v>
      </c>
      <c r="P130" s="154"/>
      <c r="Q130" s="154" t="e">
        <f ca="1">Q129-Q96</f>
        <v>#NAME?</v>
      </c>
      <c r="R130" s="154"/>
      <c r="S130" s="154" t="e">
        <f ca="1">S129-S96</f>
        <v>#NAME?</v>
      </c>
      <c r="T130" s="154"/>
      <c r="U130" s="154" t="e">
        <f ca="1">U129-U96</f>
        <v>#NAME?</v>
      </c>
      <c r="W130" s="154" t="e">
        <f ca="1">W129-W96</f>
        <v>#REF!</v>
      </c>
      <c r="X130" s="154"/>
      <c r="Y130" s="154" t="e">
        <f ca="1">Y129-Y96</f>
        <v>#REF!</v>
      </c>
      <c r="Z130" s="154"/>
      <c r="AA130" s="154" t="e">
        <f ca="1">AA129-AA96</f>
        <v>#REF!</v>
      </c>
      <c r="AB130" s="154"/>
      <c r="AC130" s="154" t="e">
        <f ca="1">AC129-AC96</f>
        <v>#REF!</v>
      </c>
      <c r="AD130" s="154"/>
      <c r="AE130" s="154" t="e">
        <f ca="1">AE129-AE96</f>
        <v>#REF!</v>
      </c>
      <c r="AF130" s="154"/>
      <c r="AG130" s="154" t="e">
        <f ca="1">AG129-AG96</f>
        <v>#REF!</v>
      </c>
      <c r="AH130" s="154"/>
      <c r="AI130" s="154" t="e">
        <f ca="1">AI129-AI96</f>
        <v>#REF!</v>
      </c>
      <c r="AJ130" s="154"/>
      <c r="AK130" s="154" t="e">
        <f ca="1">AK129-AK96</f>
        <v>#REF!</v>
      </c>
      <c r="AL130" s="154"/>
      <c r="AM130" s="154" t="e">
        <f ca="1">AM129-AM96</f>
        <v>#REF!</v>
      </c>
      <c r="AN130" s="154"/>
      <c r="AO130" s="154" t="e">
        <f ca="1">AO129-AO96</f>
        <v>#REF!</v>
      </c>
      <c r="AP130" s="154"/>
      <c r="AQ130" s="154" t="e">
        <f ca="1">AQ129-AQ96</f>
        <v>#REF!</v>
      </c>
      <c r="AR130" s="154"/>
      <c r="AS130" s="154" t="e">
        <f ca="1">AS129-AS96</f>
        <v>#REF!</v>
      </c>
      <c r="AT130" s="158"/>
      <c r="AU130" s="154"/>
      <c r="AV130" s="154"/>
      <c r="AW130" s="154"/>
      <c r="AX130" s="154"/>
      <c r="AY130" s="154"/>
      <c r="BA130" s="158" t="e">
        <f ca="1">BA129-BA96</f>
        <v>#NAME?</v>
      </c>
      <c r="BB130" s="158"/>
      <c r="BC130" s="158" t="e">
        <f ca="1">BC129-BC96</f>
        <v>#NAME?</v>
      </c>
      <c r="BD130" s="51"/>
      <c r="BE130" s="158" t="e">
        <f ca="1">BE129-BE96</f>
        <v>#NAME?</v>
      </c>
      <c r="BG130" s="154" t="e">
        <f ca="1">BG129-BG96</f>
        <v>#REF!</v>
      </c>
      <c r="BH130" s="154"/>
      <c r="BI130" s="154" t="e">
        <f ca="1">BI129-BI96</f>
        <v>#REF!</v>
      </c>
      <c r="BJ130" s="154"/>
      <c r="BK130" s="154" t="e">
        <f ca="1">BK129-BK96</f>
        <v>#REF!</v>
      </c>
      <c r="BL130" s="158"/>
      <c r="BN130" s="154" t="e">
        <f ca="1">BN129-BN96</f>
        <v>#REF!</v>
      </c>
      <c r="BO130" s="154"/>
      <c r="BP130" s="154" t="e">
        <f ca="1">BP129-BP96</f>
        <v>#REF!</v>
      </c>
      <c r="BQ130" s="154"/>
      <c r="BR130" s="154" t="e">
        <f ca="1">BR129-BR96</f>
        <v>#REF!</v>
      </c>
      <c r="BS130" s="158"/>
    </row>
    <row r="132" spans="4:71">
      <c r="E132" s="246"/>
      <c r="F132" s="246"/>
      <c r="G132" s="246"/>
      <c r="H132" s="246"/>
      <c r="I132" s="247"/>
      <c r="J132" s="246"/>
      <c r="K132" s="246"/>
      <c r="L132" s="246"/>
      <c r="M132" s="246"/>
      <c r="N132" s="246"/>
      <c r="O132" s="247"/>
      <c r="P132" s="248"/>
      <c r="Q132" s="246"/>
      <c r="R132" s="246"/>
      <c r="S132" s="246"/>
      <c r="T132" s="246"/>
      <c r="U132" s="247"/>
    </row>
    <row r="133" spans="4:71" ht="14.4" thickBot="1"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</row>
    <row r="134" spans="4:71" ht="14.4" thickBot="1">
      <c r="D134" s="250" t="s">
        <v>382</v>
      </c>
      <c r="E134" s="251"/>
      <c r="F134" s="251"/>
      <c r="G134" s="251"/>
      <c r="H134" s="251"/>
      <c r="I134" s="251"/>
      <c r="J134" s="251"/>
      <c r="K134" s="252">
        <f>'[7]Réalisé YTD'!$D$39</f>
        <v>-19923.364560000002</v>
      </c>
      <c r="L134" s="253"/>
      <c r="M134" s="254">
        <f>'[8]Réalisé TRIM'!$F$181</f>
        <v>-19752.25</v>
      </c>
      <c r="N134" s="255"/>
      <c r="O134" s="256">
        <f>K134-M134</f>
        <v>-171.1145600000018</v>
      </c>
      <c r="P134" s="251"/>
      <c r="Q134" s="252">
        <f>K134</f>
        <v>-19923.364560000002</v>
      </c>
      <c r="R134" s="253"/>
      <c r="S134" s="254">
        <f>M134</f>
        <v>-19752.25</v>
      </c>
      <c r="T134" s="255"/>
      <c r="U134" s="256">
        <f>O134</f>
        <v>-171.1145600000018</v>
      </c>
      <c r="W134" s="257"/>
      <c r="X134" s="257"/>
      <c r="Y134" s="257"/>
      <c r="Z134" s="257"/>
      <c r="AA134" s="257"/>
      <c r="AB134" s="257"/>
      <c r="AC134" s="257"/>
      <c r="AD134" s="257"/>
      <c r="AE134" s="257"/>
      <c r="AF134" s="257"/>
      <c r="AG134" s="257"/>
      <c r="AH134" s="257"/>
      <c r="AI134" s="257"/>
      <c r="AJ134" s="257"/>
      <c r="AK134" s="257"/>
      <c r="AL134" s="257"/>
      <c r="AM134" s="257"/>
      <c r="AN134" s="257"/>
      <c r="AO134" s="257"/>
      <c r="AP134" s="257"/>
      <c r="AQ134" s="257"/>
      <c r="AR134" s="257"/>
      <c r="AS134" s="257"/>
      <c r="AT134" s="257"/>
      <c r="AU134" s="257"/>
      <c r="AV134" s="257"/>
      <c r="AW134" s="257"/>
      <c r="AX134" s="257"/>
      <c r="AY134" s="257"/>
      <c r="BA134" s="257"/>
      <c r="BB134" s="257"/>
      <c r="BC134" s="257"/>
      <c r="BD134" s="257"/>
      <c r="BE134" s="257"/>
      <c r="BG134" s="257"/>
      <c r="BH134" s="257"/>
      <c r="BI134" s="257"/>
      <c r="BJ134" s="257"/>
      <c r="BK134" s="257"/>
      <c r="BL134" s="257"/>
      <c r="BN134" s="257"/>
      <c r="BO134" s="257"/>
      <c r="BP134" s="257"/>
      <c r="BQ134" s="257"/>
      <c r="BR134" s="257"/>
      <c r="BS134" s="257"/>
    </row>
    <row r="135" spans="4:71" ht="14.4" thickBot="1">
      <c r="D135" s="258" t="s">
        <v>383</v>
      </c>
      <c r="E135" s="257"/>
      <c r="F135" s="257"/>
      <c r="G135" s="257"/>
      <c r="H135" s="257"/>
      <c r="I135" s="257"/>
      <c r="J135" s="257"/>
      <c r="K135" s="252" t="e">
        <f ca="1">K95-K134</f>
        <v>#NAME?</v>
      </c>
      <c r="L135" s="253"/>
      <c r="M135" s="254" t="e">
        <f ca="1">M95-M134</f>
        <v>#NAME?</v>
      </c>
      <c r="N135" s="255"/>
      <c r="O135" s="256" t="e">
        <f ca="1">K135-M135</f>
        <v>#NAME?</v>
      </c>
      <c r="P135" s="251"/>
      <c r="Q135" s="252" t="e">
        <f ca="1">Q95-Q134</f>
        <v>#NAME?</v>
      </c>
      <c r="R135" s="253"/>
      <c r="S135" s="254" t="e">
        <f ca="1">S95-S134</f>
        <v>#NAME?</v>
      </c>
      <c r="T135" s="255"/>
      <c r="U135" s="256" t="e">
        <f ca="1">Q135-S135</f>
        <v>#NAME?</v>
      </c>
      <c r="W135" s="257"/>
      <c r="X135" s="257"/>
      <c r="Y135" s="257"/>
      <c r="Z135" s="257"/>
      <c r="AA135" s="257"/>
      <c r="AB135" s="257"/>
      <c r="AC135" s="257"/>
      <c r="AD135" s="257"/>
      <c r="AE135" s="257"/>
      <c r="AF135" s="257"/>
      <c r="AG135" s="257"/>
      <c r="AH135" s="257"/>
      <c r="AI135" s="257"/>
      <c r="AJ135" s="257"/>
      <c r="AK135" s="257"/>
      <c r="AL135" s="257"/>
      <c r="AM135" s="257"/>
      <c r="AN135" s="257"/>
      <c r="AO135" s="257"/>
      <c r="AP135" s="257"/>
      <c r="AQ135" s="257"/>
      <c r="AR135" s="257"/>
      <c r="AS135" s="257"/>
      <c r="AT135" s="257"/>
      <c r="AU135" s="257"/>
      <c r="AV135" s="257"/>
      <c r="AW135" s="257"/>
      <c r="AX135" s="257"/>
      <c r="AY135" s="257"/>
      <c r="BA135" s="257"/>
      <c r="BB135" s="257"/>
      <c r="BC135" s="257"/>
      <c r="BD135" s="257"/>
      <c r="BE135" s="257"/>
      <c r="BG135" s="257"/>
      <c r="BH135" s="257"/>
      <c r="BI135" s="257"/>
      <c r="BJ135" s="257"/>
      <c r="BK135" s="257"/>
      <c r="BL135" s="257"/>
      <c r="BN135" s="257"/>
      <c r="BO135" s="257"/>
      <c r="BP135" s="257"/>
      <c r="BQ135" s="257"/>
      <c r="BR135" s="257"/>
      <c r="BS135" s="257"/>
    </row>
  </sheetData>
  <mergeCells count="45">
    <mergeCell ref="D14:D15"/>
    <mergeCell ref="E14:E15"/>
    <mergeCell ref="G14:G15"/>
    <mergeCell ref="I14:I15"/>
    <mergeCell ref="K14:K15"/>
    <mergeCell ref="AO11:AS11"/>
    <mergeCell ref="AU11:AY11"/>
    <mergeCell ref="BG11:BK11"/>
    <mergeCell ref="BN11:BR11"/>
    <mergeCell ref="E13:U13"/>
    <mergeCell ref="E11:I11"/>
    <mergeCell ref="K11:O11"/>
    <mergeCell ref="Q11:U11"/>
    <mergeCell ref="W11:AA11"/>
    <mergeCell ref="AC11:AG11"/>
    <mergeCell ref="AI11:AM11"/>
    <mergeCell ref="AI14:AI15"/>
    <mergeCell ref="M14:M15"/>
    <mergeCell ref="O14:O15"/>
    <mergeCell ref="Q14:Q15"/>
    <mergeCell ref="S14:S15"/>
    <mergeCell ref="U14:U15"/>
    <mergeCell ref="W14:W15"/>
    <mergeCell ref="Y14:Y15"/>
    <mergeCell ref="AA14:AA15"/>
    <mergeCell ref="AC14:AC15"/>
    <mergeCell ref="AE14:AE15"/>
    <mergeCell ref="AG14:AG15"/>
    <mergeCell ref="BG14:BG15"/>
    <mergeCell ref="AK14:AK15"/>
    <mergeCell ref="AM14:AM15"/>
    <mergeCell ref="AO14:AO15"/>
    <mergeCell ref="AQ14:AQ15"/>
    <mergeCell ref="AS14:AS15"/>
    <mergeCell ref="AU14:AU15"/>
    <mergeCell ref="AW14:AW15"/>
    <mergeCell ref="AY14:AY15"/>
    <mergeCell ref="BA14:BA15"/>
    <mergeCell ref="BC14:BC15"/>
    <mergeCell ref="BE14:BE15"/>
    <mergeCell ref="BI14:BI15"/>
    <mergeCell ref="BK14:BK15"/>
    <mergeCell ref="BN14:BN15"/>
    <mergeCell ref="BP14:BP15"/>
    <mergeCell ref="BR14:BR15"/>
  </mergeCells>
  <conditionalFormatting sqref="I12">
    <cfRule type="cellIs" dxfId="333" priority="159" stopIfTrue="1" operator="lessThan">
      <formula>0</formula>
    </cfRule>
  </conditionalFormatting>
  <conditionalFormatting sqref="I16:I95">
    <cfRule type="cellIs" dxfId="332" priority="25" stopIfTrue="1" operator="lessThan">
      <formula>0</formula>
    </cfRule>
  </conditionalFormatting>
  <conditionalFormatting sqref="I99:I101">
    <cfRule type="cellIs" dxfId="331" priority="53" stopIfTrue="1" operator="lessThan">
      <formula>0</formula>
    </cfRule>
  </conditionalFormatting>
  <conditionalFormatting sqref="I101:I103">
    <cfRule type="expression" dxfId="330" priority="58" stopIfTrue="1">
      <formula>$K196&lt;$M196</formula>
    </cfRule>
  </conditionalFormatting>
  <conditionalFormatting sqref="I102:I113 I115:I117">
    <cfRule type="cellIs" dxfId="329" priority="57" stopIfTrue="1" operator="lessThan">
      <formula>0</formula>
    </cfRule>
  </conditionalFormatting>
  <conditionalFormatting sqref="I104:I108">
    <cfRule type="expression" dxfId="328" priority="60" stopIfTrue="1">
      <formula>$K200&lt;$M200</formula>
    </cfRule>
  </conditionalFormatting>
  <conditionalFormatting sqref="I109">
    <cfRule type="expression" dxfId="327" priority="61" stopIfTrue="1">
      <formula>$K206&lt;$M206</formula>
    </cfRule>
  </conditionalFormatting>
  <conditionalFormatting sqref="I111:I112">
    <cfRule type="expression" dxfId="326" priority="59" stopIfTrue="1">
      <formula>$K212&lt;$M212</formula>
    </cfRule>
  </conditionalFormatting>
  <conditionalFormatting sqref="I113">
    <cfRule type="expression" dxfId="325" priority="56" stopIfTrue="1">
      <formula>$K213&lt;$M213</formula>
    </cfRule>
  </conditionalFormatting>
  <conditionalFormatting sqref="I114">
    <cfRule type="cellIs" dxfId="324" priority="54" stopIfTrue="1" operator="lessThan">
      <formula>0</formula>
    </cfRule>
  </conditionalFormatting>
  <conditionalFormatting sqref="I115:I117">
    <cfRule type="expression" dxfId="323" priority="55" stopIfTrue="1">
      <formula>$K215&lt;$M215</formula>
    </cfRule>
  </conditionalFormatting>
  <conditionalFormatting sqref="I121:I129">
    <cfRule type="cellIs" dxfId="322" priority="52" stopIfTrue="1" operator="lessThan">
      <formula>0</formula>
    </cfRule>
  </conditionalFormatting>
  <conditionalFormatting sqref="O1:O10">
    <cfRule type="cellIs" dxfId="321" priority="161" stopIfTrue="1" operator="lessThan">
      <formula>0</formula>
    </cfRule>
  </conditionalFormatting>
  <conditionalFormatting sqref="O12">
    <cfRule type="cellIs" dxfId="320" priority="158" stopIfTrue="1" operator="lessThan">
      <formula>0</formula>
    </cfRule>
  </conditionalFormatting>
  <conditionalFormatting sqref="O16:O17">
    <cfRule type="cellIs" dxfId="319" priority="15" stopIfTrue="1" operator="lessThan">
      <formula>0</formula>
    </cfRule>
  </conditionalFormatting>
  <conditionalFormatting sqref="O18:O55">
    <cfRule type="cellIs" dxfId="318" priority="21" stopIfTrue="1" operator="lessThan">
      <formula>0</formula>
    </cfRule>
  </conditionalFormatting>
  <conditionalFormatting sqref="O39:O41">
    <cfRule type="expression" dxfId="317" priority="139" stopIfTrue="1">
      <formula>$K121&lt;$M121</formula>
    </cfRule>
    <cfRule type="expression" dxfId="316" priority="143" stopIfTrue="1">
      <formula>$K123&lt;$M123</formula>
    </cfRule>
    <cfRule type="cellIs" dxfId="315" priority="142" stopIfTrue="1" operator="lessThan">
      <formula>0</formula>
    </cfRule>
    <cfRule type="cellIs" dxfId="314" priority="141" stopIfTrue="1" operator="lessThan">
      <formula>0</formula>
    </cfRule>
    <cfRule type="cellIs" dxfId="313" priority="140" stopIfTrue="1" operator="lessThan">
      <formula>0</formula>
    </cfRule>
  </conditionalFormatting>
  <conditionalFormatting sqref="O49:O51 O55:O57">
    <cfRule type="cellIs" dxfId="312" priority="144" stopIfTrue="1" operator="lessThan">
      <formula>0</formula>
    </cfRule>
  </conditionalFormatting>
  <conditionalFormatting sqref="O49:O51">
    <cfRule type="cellIs" dxfId="311" priority="145" stopIfTrue="1" operator="lessThan">
      <formula>0</formula>
    </cfRule>
  </conditionalFormatting>
  <conditionalFormatting sqref="O52:O54">
    <cfRule type="cellIs" dxfId="310" priority="17" stopIfTrue="1" operator="lessThan">
      <formula>0</formula>
    </cfRule>
    <cfRule type="expression" dxfId="309" priority="18" stopIfTrue="1">
      <formula>$K134&lt;$M134</formula>
    </cfRule>
    <cfRule type="cellIs" dxfId="308" priority="19" stopIfTrue="1" operator="lessThan">
      <formula>0</formula>
    </cfRule>
    <cfRule type="cellIs" dxfId="307" priority="20" stopIfTrue="1" operator="lessThan">
      <formula>0</formula>
    </cfRule>
    <cfRule type="expression" dxfId="306" priority="22" stopIfTrue="1">
      <formula>$K136&lt;$M136</formula>
    </cfRule>
  </conditionalFormatting>
  <conditionalFormatting sqref="O57:O68">
    <cfRule type="cellIs" dxfId="305" priority="14" stopIfTrue="1" operator="lessThan">
      <formula>0</formula>
    </cfRule>
  </conditionalFormatting>
  <conditionalFormatting sqref="O58:O68">
    <cfRule type="cellIs" dxfId="304" priority="13" stopIfTrue="1" operator="lessThan">
      <formula>0</formula>
    </cfRule>
  </conditionalFormatting>
  <conditionalFormatting sqref="O58:O69">
    <cfRule type="cellIs" dxfId="303" priority="11" stopIfTrue="1" operator="lessThan">
      <formula>0</formula>
    </cfRule>
  </conditionalFormatting>
  <conditionalFormatting sqref="O69">
    <cfRule type="expression" dxfId="302" priority="12" stopIfTrue="1">
      <formula>$K156&lt;$M156</formula>
    </cfRule>
    <cfRule type="cellIs" dxfId="301" priority="9" stopIfTrue="1" operator="lessThan">
      <formula>0</formula>
    </cfRule>
    <cfRule type="expression" dxfId="300" priority="10" stopIfTrue="1">
      <formula>$K156&lt;$M156</formula>
    </cfRule>
  </conditionalFormatting>
  <conditionalFormatting sqref="O69:O75">
    <cfRule type="cellIs" dxfId="299" priority="137" stopIfTrue="1" operator="lessThan">
      <formula>0</formula>
    </cfRule>
  </conditionalFormatting>
  <conditionalFormatting sqref="O74">
    <cfRule type="expression" dxfId="298" priority="138" stopIfTrue="1">
      <formula>$K156&lt;$M156</formula>
    </cfRule>
    <cfRule type="cellIs" dxfId="297" priority="136" stopIfTrue="1" operator="lessThan">
      <formula>0</formula>
    </cfRule>
    <cfRule type="cellIs" dxfId="296" priority="133" stopIfTrue="1" operator="lessThan">
      <formula>0</formula>
    </cfRule>
    <cfRule type="expression" dxfId="295" priority="134" stopIfTrue="1">
      <formula>$K154&lt;$M154</formula>
    </cfRule>
    <cfRule type="cellIs" dxfId="294" priority="135" stopIfTrue="1" operator="lessThan">
      <formula>0</formula>
    </cfRule>
  </conditionalFormatting>
  <conditionalFormatting sqref="O76">
    <cfRule type="cellIs" dxfId="293" priority="129" stopIfTrue="1" operator="lessThan">
      <formula>0</formula>
    </cfRule>
    <cfRule type="expression" dxfId="292" priority="128" stopIfTrue="1">
      <formula>$K156&lt;$M156</formula>
    </cfRule>
    <cfRule type="cellIs" dxfId="291" priority="130" stopIfTrue="1" operator="lessThan">
      <formula>0</formula>
    </cfRule>
    <cfRule type="cellIs" dxfId="290" priority="131" stopIfTrue="1" operator="lessThan">
      <formula>0</formula>
    </cfRule>
    <cfRule type="expression" dxfId="289" priority="132" stopIfTrue="1">
      <formula>$K158&lt;$M158</formula>
    </cfRule>
  </conditionalFormatting>
  <conditionalFormatting sqref="O76:O78">
    <cfRule type="cellIs" dxfId="288" priority="7" stopIfTrue="1" operator="lessThan">
      <formula>0</formula>
    </cfRule>
  </conditionalFormatting>
  <conditionalFormatting sqref="O77">
    <cfRule type="cellIs" dxfId="287" priority="3" stopIfTrue="1" operator="lessThan">
      <formula>0</formula>
    </cfRule>
    <cfRule type="expression" dxfId="286" priority="4" stopIfTrue="1">
      <formula>$K157&lt;$M157</formula>
    </cfRule>
    <cfRule type="cellIs" dxfId="285" priority="5" stopIfTrue="1" operator="lessThan">
      <formula>0</formula>
    </cfRule>
    <cfRule type="cellIs" dxfId="284" priority="6" stopIfTrue="1" operator="lessThan">
      <formula>0</formula>
    </cfRule>
    <cfRule type="expression" dxfId="283" priority="8" stopIfTrue="1">
      <formula>$K159&lt;$M159</formula>
    </cfRule>
  </conditionalFormatting>
  <conditionalFormatting sqref="O78">
    <cfRule type="expression" dxfId="282" priority="123" stopIfTrue="1">
      <formula>$K159&lt;$M159</formula>
    </cfRule>
    <cfRule type="cellIs" dxfId="281" priority="124" stopIfTrue="1" operator="lessThan">
      <formula>0</formula>
    </cfRule>
    <cfRule type="cellIs" dxfId="280" priority="125" stopIfTrue="1" operator="lessThan">
      <formula>0</formula>
    </cfRule>
    <cfRule type="expression" dxfId="279" priority="127" stopIfTrue="1">
      <formula>$K161&lt;$M161</formula>
    </cfRule>
  </conditionalFormatting>
  <conditionalFormatting sqref="O78:O82">
    <cfRule type="cellIs" dxfId="278" priority="126" stopIfTrue="1" operator="lessThan">
      <formula>0</formula>
    </cfRule>
  </conditionalFormatting>
  <conditionalFormatting sqref="O83:O88">
    <cfRule type="cellIs" dxfId="277" priority="24" stopIfTrue="1" operator="lessThan">
      <formula>0</formula>
    </cfRule>
  </conditionalFormatting>
  <conditionalFormatting sqref="O89:O91">
    <cfRule type="cellIs" dxfId="276" priority="147" stopIfTrue="1" operator="lessThan">
      <formula>0</formula>
    </cfRule>
    <cfRule type="cellIs" dxfId="275" priority="154" stopIfTrue="1" operator="lessThan">
      <formula>0</formula>
    </cfRule>
  </conditionalFormatting>
  <conditionalFormatting sqref="O91">
    <cfRule type="expression" dxfId="274" priority="146" stopIfTrue="1">
      <formula>$K178&lt;$M178</formula>
    </cfRule>
    <cfRule type="expression" dxfId="273" priority="153" stopIfTrue="1">
      <formula>$K178&lt;$M178</formula>
    </cfRule>
  </conditionalFormatting>
  <conditionalFormatting sqref="O91:O94">
    <cfRule type="cellIs" dxfId="272" priority="90" stopIfTrue="1" operator="lessThan">
      <formula>0</formula>
    </cfRule>
  </conditionalFormatting>
  <conditionalFormatting sqref="O92">
    <cfRule type="expression" dxfId="271" priority="89" stopIfTrue="1">
      <formula>$K179&lt;$M179</formula>
    </cfRule>
    <cfRule type="cellIs" dxfId="270" priority="88" stopIfTrue="1" operator="lessThan">
      <formula>0</formula>
    </cfRule>
    <cfRule type="expression" dxfId="269" priority="87" stopIfTrue="1">
      <formula>$K179&lt;$M179</formula>
    </cfRule>
    <cfRule type="cellIs" dxfId="268" priority="86" stopIfTrue="1" operator="lessThan">
      <formula>0</formula>
    </cfRule>
  </conditionalFormatting>
  <conditionalFormatting sqref="O95">
    <cfRule type="cellIs" dxfId="267" priority="85" stopIfTrue="1" operator="lessThan">
      <formula>0</formula>
    </cfRule>
  </conditionalFormatting>
  <conditionalFormatting sqref="O99">
    <cfRule type="cellIs" dxfId="266" priority="51" stopIfTrue="1" operator="lessThan">
      <formula>0</formula>
    </cfRule>
  </conditionalFormatting>
  <conditionalFormatting sqref="O100:O113">
    <cfRule type="cellIs" dxfId="265" priority="156" stopIfTrue="1" operator="lessThan">
      <formula>0</formula>
    </cfRule>
  </conditionalFormatting>
  <conditionalFormatting sqref="O101:O103">
    <cfRule type="expression" dxfId="264" priority="163" stopIfTrue="1">
      <formula>$K196&lt;$M196</formula>
    </cfRule>
  </conditionalFormatting>
  <conditionalFormatting sqref="O104:O108">
    <cfRule type="expression" dxfId="263" priority="165" stopIfTrue="1">
      <formula>$K200&lt;$M200</formula>
    </cfRule>
  </conditionalFormatting>
  <conditionalFormatting sqref="O109">
    <cfRule type="expression" dxfId="262" priority="166" stopIfTrue="1">
      <formula>$K206&lt;$M206</formula>
    </cfRule>
  </conditionalFormatting>
  <conditionalFormatting sqref="O110 I110">
    <cfRule type="expression" dxfId="261" priority="167" stopIfTrue="1">
      <formula>$K209&lt;$M209</formula>
    </cfRule>
  </conditionalFormatting>
  <conditionalFormatting sqref="O111:O112">
    <cfRule type="expression" dxfId="260" priority="164" stopIfTrue="1">
      <formula>$K212&lt;$M212</formula>
    </cfRule>
  </conditionalFormatting>
  <conditionalFormatting sqref="O113 O115:O117">
    <cfRule type="expression" dxfId="259" priority="155" stopIfTrue="1">
      <formula>$K213&lt;$M213</formula>
    </cfRule>
  </conditionalFormatting>
  <conditionalFormatting sqref="O114">
    <cfRule type="cellIs" dxfId="258" priority="152" stopIfTrue="1" operator="lessThan">
      <formula>0</formula>
    </cfRule>
  </conditionalFormatting>
  <conditionalFormatting sqref="O115:O117 O55:O57 U51 I1:I10 I14 O14 O131:O132 U131:U132 I131:I133 J133:U133 I136:I65536">
    <cfRule type="cellIs" dxfId="257" priority="162" stopIfTrue="1" operator="lessThan">
      <formula>0</formula>
    </cfRule>
  </conditionalFormatting>
  <conditionalFormatting sqref="O121">
    <cfRule type="cellIs" dxfId="256" priority="48" stopIfTrue="1" operator="lessThan">
      <formula>0</formula>
    </cfRule>
  </conditionalFormatting>
  <conditionalFormatting sqref="O122:O126">
    <cfRule type="expression" dxfId="255" priority="150" stopIfTrue="1">
      <formula>$K223&lt;$M223</formula>
    </cfRule>
  </conditionalFormatting>
  <conditionalFormatting sqref="O122:O128">
    <cfRule type="cellIs" dxfId="254" priority="151" stopIfTrue="1" operator="lessThan">
      <formula>0</formula>
    </cfRule>
  </conditionalFormatting>
  <conditionalFormatting sqref="O127:O129">
    <cfRule type="expression" dxfId="253" priority="148" stopIfTrue="1">
      <formula>$K229&lt;$M229</formula>
    </cfRule>
  </conditionalFormatting>
  <conditionalFormatting sqref="O129">
    <cfRule type="cellIs" dxfId="252" priority="149" stopIfTrue="1" operator="lessThan">
      <formula>0</formula>
    </cfRule>
  </conditionalFormatting>
  <conditionalFormatting sqref="O134:O65536">
    <cfRule type="cellIs" dxfId="251" priority="2" stopIfTrue="1" operator="lessThan">
      <formula>0</formula>
    </cfRule>
  </conditionalFormatting>
  <conditionalFormatting sqref="U1:U10">
    <cfRule type="cellIs" dxfId="250" priority="160" stopIfTrue="1" operator="lessThan">
      <formula>0</formula>
    </cfRule>
  </conditionalFormatting>
  <conditionalFormatting sqref="U12">
    <cfRule type="cellIs" dxfId="249" priority="157" stopIfTrue="1" operator="lessThan">
      <formula>0</formula>
    </cfRule>
  </conditionalFormatting>
  <conditionalFormatting sqref="U16:U50">
    <cfRule type="cellIs" dxfId="248" priority="23" stopIfTrue="1" operator="lessThan">
      <formula>0</formula>
    </cfRule>
  </conditionalFormatting>
  <conditionalFormatting sqref="U51">
    <cfRule type="cellIs" dxfId="247" priority="122" stopIfTrue="1" operator="lessThan">
      <formula>0</formula>
    </cfRule>
  </conditionalFormatting>
  <conditionalFormatting sqref="U52:U95">
    <cfRule type="cellIs" dxfId="246" priority="16" stopIfTrue="1" operator="lessThan">
      <formula>0</formula>
    </cfRule>
  </conditionalFormatting>
  <conditionalFormatting sqref="U99:U117">
    <cfRule type="cellIs" dxfId="245" priority="50" stopIfTrue="1" operator="lessThan">
      <formula>0</formula>
    </cfRule>
  </conditionalFormatting>
  <conditionalFormatting sqref="U121:U129">
    <cfRule type="cellIs" dxfId="244" priority="47" stopIfTrue="1" operator="lessThan">
      <formula>0</formula>
    </cfRule>
  </conditionalFormatting>
  <conditionalFormatting sqref="U134:U65536">
    <cfRule type="cellIs" dxfId="243" priority="1" stopIfTrue="1" operator="lessThan">
      <formula>0</formula>
    </cfRule>
  </conditionalFormatting>
  <conditionalFormatting sqref="AA1:AA10">
    <cfRule type="cellIs" dxfId="242" priority="120" stopIfTrue="1" operator="lessThan">
      <formula>0</formula>
    </cfRule>
  </conditionalFormatting>
  <conditionalFormatting sqref="AA12">
    <cfRule type="cellIs" dxfId="241" priority="119" stopIfTrue="1" operator="lessThan">
      <formula>0</formula>
    </cfRule>
  </conditionalFormatting>
  <conditionalFormatting sqref="AA16:AA47">
    <cfRule type="cellIs" dxfId="240" priority="84" stopIfTrue="1" operator="lessThan">
      <formula>0</formula>
    </cfRule>
  </conditionalFormatting>
  <conditionalFormatting sqref="AA48:AA58">
    <cfRule type="cellIs" dxfId="239" priority="118" stopIfTrue="1" operator="lessThan">
      <formula>0</formula>
    </cfRule>
  </conditionalFormatting>
  <conditionalFormatting sqref="AA50:AA54">
    <cfRule type="cellIs" dxfId="238" priority="117" stopIfTrue="1" operator="lessThan">
      <formula>0</formula>
    </cfRule>
  </conditionalFormatting>
  <conditionalFormatting sqref="AA59:AA95">
    <cfRule type="cellIs" dxfId="237" priority="79" stopIfTrue="1" operator="lessThan">
      <formula>0</formula>
    </cfRule>
  </conditionalFormatting>
  <conditionalFormatting sqref="AA99:AA117">
    <cfRule type="cellIs" dxfId="236" priority="72" stopIfTrue="1" operator="lessThan">
      <formula>0</formula>
    </cfRule>
  </conditionalFormatting>
  <conditionalFormatting sqref="AA121:AA129">
    <cfRule type="cellIs" dxfId="235" priority="66" stopIfTrue="1" operator="lessThan">
      <formula>0</formula>
    </cfRule>
  </conditionalFormatting>
  <conditionalFormatting sqref="AA131:AA133 AA136:AA65536">
    <cfRule type="cellIs" dxfId="234" priority="121" stopIfTrue="1" operator="lessThan">
      <formula>0</formula>
    </cfRule>
  </conditionalFormatting>
  <conditionalFormatting sqref="AB119">
    <cfRule type="cellIs" dxfId="233" priority="113" stopIfTrue="1" operator="lessThan">
      <formula>0</formula>
    </cfRule>
  </conditionalFormatting>
  <conditionalFormatting sqref="AG1:AG10">
    <cfRule type="cellIs" dxfId="232" priority="115" stopIfTrue="1" operator="lessThan">
      <formula>0</formula>
    </cfRule>
  </conditionalFormatting>
  <conditionalFormatting sqref="AG12">
    <cfRule type="cellIs" dxfId="231" priority="114" stopIfTrue="1" operator="lessThan">
      <formula>0</formula>
    </cfRule>
  </conditionalFormatting>
  <conditionalFormatting sqref="AG16:AG47">
    <cfRule type="cellIs" dxfId="230" priority="83" stopIfTrue="1" operator="lessThan">
      <formula>0</formula>
    </cfRule>
  </conditionalFormatting>
  <conditionalFormatting sqref="AG48:AG58">
    <cfRule type="cellIs" dxfId="229" priority="112" stopIfTrue="1" operator="lessThan">
      <formula>0</formula>
    </cfRule>
  </conditionalFormatting>
  <conditionalFormatting sqref="AG50:AG54">
    <cfRule type="cellIs" dxfId="228" priority="111" stopIfTrue="1" operator="lessThan">
      <formula>0</formula>
    </cfRule>
  </conditionalFormatting>
  <conditionalFormatting sqref="AG59:AG95">
    <cfRule type="cellIs" dxfId="227" priority="78" stopIfTrue="1" operator="lessThan">
      <formula>0</formula>
    </cfRule>
  </conditionalFormatting>
  <conditionalFormatting sqref="AG99:AG117">
    <cfRule type="cellIs" dxfId="226" priority="71" stopIfTrue="1" operator="lessThan">
      <formula>0</formula>
    </cfRule>
  </conditionalFormatting>
  <conditionalFormatting sqref="AG121:AG129">
    <cfRule type="cellIs" dxfId="225" priority="65" stopIfTrue="1" operator="lessThan">
      <formula>0</formula>
    </cfRule>
  </conditionalFormatting>
  <conditionalFormatting sqref="AG131:AG133 AG136:AG65536">
    <cfRule type="cellIs" dxfId="224" priority="116" stopIfTrue="1" operator="lessThan">
      <formula>0</formula>
    </cfRule>
  </conditionalFormatting>
  <conditionalFormatting sqref="AH119">
    <cfRule type="cellIs" dxfId="223" priority="107" stopIfTrue="1" operator="lessThan">
      <formula>0</formula>
    </cfRule>
  </conditionalFormatting>
  <conditionalFormatting sqref="AM1:AM10">
    <cfRule type="cellIs" dxfId="222" priority="109" stopIfTrue="1" operator="lessThan">
      <formula>0</formula>
    </cfRule>
  </conditionalFormatting>
  <conditionalFormatting sqref="AM12">
    <cfRule type="cellIs" dxfId="221" priority="108" stopIfTrue="1" operator="lessThan">
      <formula>0</formula>
    </cfRule>
  </conditionalFormatting>
  <conditionalFormatting sqref="AM16:AM47">
    <cfRule type="cellIs" dxfId="220" priority="82" stopIfTrue="1" operator="lessThan">
      <formula>0</formula>
    </cfRule>
  </conditionalFormatting>
  <conditionalFormatting sqref="AM48:AM58">
    <cfRule type="cellIs" dxfId="219" priority="106" stopIfTrue="1" operator="lessThan">
      <formula>0</formula>
    </cfRule>
  </conditionalFormatting>
  <conditionalFormatting sqref="AM50:AM54">
    <cfRule type="cellIs" dxfId="218" priority="105" stopIfTrue="1" operator="lessThan">
      <formula>0</formula>
    </cfRule>
  </conditionalFormatting>
  <conditionalFormatting sqref="AM59:AM95">
    <cfRule type="cellIs" dxfId="217" priority="77" stopIfTrue="1" operator="lessThan">
      <formula>0</formula>
    </cfRule>
  </conditionalFormatting>
  <conditionalFormatting sqref="AM99:AM117">
    <cfRule type="cellIs" dxfId="216" priority="70" stopIfTrue="1" operator="lessThan">
      <formula>0</formula>
    </cfRule>
  </conditionalFormatting>
  <conditionalFormatting sqref="AM121:AM129">
    <cfRule type="cellIs" dxfId="215" priority="64" stopIfTrue="1" operator="lessThan">
      <formula>0</formula>
    </cfRule>
  </conditionalFormatting>
  <conditionalFormatting sqref="AM131:AM133 AM136:AM65536">
    <cfRule type="cellIs" dxfId="214" priority="110" stopIfTrue="1" operator="lessThan">
      <formula>0</formula>
    </cfRule>
  </conditionalFormatting>
  <conditionalFormatting sqref="AN119">
    <cfRule type="cellIs" dxfId="213" priority="101" stopIfTrue="1" operator="lessThan">
      <formula>0</formula>
    </cfRule>
  </conditionalFormatting>
  <conditionalFormatting sqref="AS1:AS10">
    <cfRule type="cellIs" dxfId="212" priority="103" stopIfTrue="1" operator="lessThan">
      <formula>0</formula>
    </cfRule>
  </conditionalFormatting>
  <conditionalFormatting sqref="AS12">
    <cfRule type="cellIs" dxfId="211" priority="102" stopIfTrue="1" operator="lessThan">
      <formula>0</formula>
    </cfRule>
  </conditionalFormatting>
  <conditionalFormatting sqref="AS16:AS47">
    <cfRule type="cellIs" dxfId="210" priority="81" stopIfTrue="1" operator="lessThan">
      <formula>0</formula>
    </cfRule>
  </conditionalFormatting>
  <conditionalFormatting sqref="AS48:AS58">
    <cfRule type="cellIs" dxfId="209" priority="100" stopIfTrue="1" operator="lessThan">
      <formula>0</formula>
    </cfRule>
  </conditionalFormatting>
  <conditionalFormatting sqref="AS50:AS54">
    <cfRule type="cellIs" dxfId="208" priority="99" stopIfTrue="1" operator="lessThan">
      <formula>0</formula>
    </cfRule>
  </conditionalFormatting>
  <conditionalFormatting sqref="AS59:AS95">
    <cfRule type="cellIs" dxfId="207" priority="76" stopIfTrue="1" operator="lessThan">
      <formula>0</formula>
    </cfRule>
  </conditionalFormatting>
  <conditionalFormatting sqref="AS99:AS117">
    <cfRule type="cellIs" dxfId="206" priority="69" stopIfTrue="1" operator="lessThan">
      <formula>0</formula>
    </cfRule>
  </conditionalFormatting>
  <conditionalFormatting sqref="AS121:AS129">
    <cfRule type="cellIs" dxfId="205" priority="63" stopIfTrue="1" operator="lessThan">
      <formula>0</formula>
    </cfRule>
  </conditionalFormatting>
  <conditionalFormatting sqref="AS131:AS133 AS136:AS65536">
    <cfRule type="cellIs" dxfId="204" priority="104" stopIfTrue="1" operator="lessThan">
      <formula>0</formula>
    </cfRule>
  </conditionalFormatting>
  <conditionalFormatting sqref="AT119">
    <cfRule type="cellIs" dxfId="203" priority="46" stopIfTrue="1" operator="lessThan">
      <formula>0</formula>
    </cfRule>
  </conditionalFormatting>
  <conditionalFormatting sqref="AY1:AY10">
    <cfRule type="cellIs" dxfId="202" priority="97" stopIfTrue="1" operator="lessThan">
      <formula>0</formula>
    </cfRule>
  </conditionalFormatting>
  <conditionalFormatting sqref="AY12">
    <cfRule type="cellIs" dxfId="201" priority="96" stopIfTrue="1" operator="lessThan">
      <formula>0</formula>
    </cfRule>
  </conditionalFormatting>
  <conditionalFormatting sqref="AY16:AY47">
    <cfRule type="cellIs" dxfId="200" priority="74" stopIfTrue="1" operator="lessThan">
      <formula>0</formula>
    </cfRule>
  </conditionalFormatting>
  <conditionalFormatting sqref="AY48:AY91">
    <cfRule type="cellIs" dxfId="199" priority="95" stopIfTrue="1" operator="lessThan">
      <formula>0</formula>
    </cfRule>
  </conditionalFormatting>
  <conditionalFormatting sqref="AY50:AY54">
    <cfRule type="cellIs" dxfId="198" priority="94" stopIfTrue="1" operator="lessThan">
      <formula>0</formula>
    </cfRule>
  </conditionalFormatting>
  <conditionalFormatting sqref="AY92:AY95">
    <cfRule type="cellIs" dxfId="197" priority="75" stopIfTrue="1" operator="lessThan">
      <formula>0</formula>
    </cfRule>
  </conditionalFormatting>
  <conditionalFormatting sqref="AY99:AY117">
    <cfRule type="cellIs" dxfId="196" priority="68" stopIfTrue="1" operator="lessThan">
      <formula>0</formula>
    </cfRule>
  </conditionalFormatting>
  <conditionalFormatting sqref="AY121:AY129">
    <cfRule type="cellIs" dxfId="195" priority="62" stopIfTrue="1" operator="lessThan">
      <formula>0</formula>
    </cfRule>
  </conditionalFormatting>
  <conditionalFormatting sqref="AY131:AY133 AY136:AY65536">
    <cfRule type="cellIs" dxfId="194" priority="98" stopIfTrue="1" operator="lessThan">
      <formula>0</formula>
    </cfRule>
  </conditionalFormatting>
  <conditionalFormatting sqref="BE1:BE10">
    <cfRule type="cellIs" dxfId="193" priority="92" stopIfTrue="1" operator="lessThan">
      <formula>0</formula>
    </cfRule>
  </conditionalFormatting>
  <conditionalFormatting sqref="BE12">
    <cfRule type="cellIs" dxfId="192" priority="91" stopIfTrue="1" operator="lessThan">
      <formula>0</formula>
    </cfRule>
  </conditionalFormatting>
  <conditionalFormatting sqref="BE14">
    <cfRule type="cellIs" dxfId="191" priority="73" stopIfTrue="1" operator="lessThan">
      <formula>0</formula>
    </cfRule>
  </conditionalFormatting>
  <conditionalFormatting sqref="BE16:BE95">
    <cfRule type="cellIs" dxfId="190" priority="80" stopIfTrue="1" operator="lessThan">
      <formula>0</formula>
    </cfRule>
  </conditionalFormatting>
  <conditionalFormatting sqref="BE99:BE117">
    <cfRule type="cellIs" dxfId="189" priority="49" stopIfTrue="1" operator="lessThan">
      <formula>0</formula>
    </cfRule>
  </conditionalFormatting>
  <conditionalFormatting sqref="BE121:BE129">
    <cfRule type="cellIs" dxfId="188" priority="67" stopIfTrue="1" operator="lessThan">
      <formula>0</formula>
    </cfRule>
  </conditionalFormatting>
  <conditionalFormatting sqref="BE131:BE133 BE136:BE65536">
    <cfRule type="cellIs" dxfId="187" priority="93" stopIfTrue="1" operator="lessThan">
      <formula>0</formula>
    </cfRule>
  </conditionalFormatting>
  <conditionalFormatting sqref="BK1:BK10">
    <cfRule type="cellIs" dxfId="186" priority="44" stopIfTrue="1" operator="lessThan">
      <formula>0</formula>
    </cfRule>
  </conditionalFormatting>
  <conditionalFormatting sqref="BK12">
    <cfRule type="cellIs" dxfId="185" priority="43" stopIfTrue="1" operator="lessThan">
      <formula>0</formula>
    </cfRule>
  </conditionalFormatting>
  <conditionalFormatting sqref="BK16:BK47">
    <cfRule type="cellIs" dxfId="184" priority="40" stopIfTrue="1" operator="lessThan">
      <formula>0</formula>
    </cfRule>
  </conditionalFormatting>
  <conditionalFormatting sqref="BK48:BK58">
    <cfRule type="cellIs" dxfId="183" priority="42" stopIfTrue="1" operator="lessThan">
      <formula>0</formula>
    </cfRule>
  </conditionalFormatting>
  <conditionalFormatting sqref="BK50:BK54">
    <cfRule type="cellIs" dxfId="182" priority="41" stopIfTrue="1" operator="lessThan">
      <formula>0</formula>
    </cfRule>
  </conditionalFormatting>
  <conditionalFormatting sqref="BK59:BK95">
    <cfRule type="cellIs" dxfId="181" priority="39" stopIfTrue="1" operator="lessThan">
      <formula>0</formula>
    </cfRule>
  </conditionalFormatting>
  <conditionalFormatting sqref="BK99:BK117">
    <cfRule type="cellIs" dxfId="180" priority="38" stopIfTrue="1" operator="lessThan">
      <formula>0</formula>
    </cfRule>
  </conditionalFormatting>
  <conditionalFormatting sqref="BK121:BK129">
    <cfRule type="cellIs" dxfId="179" priority="37" stopIfTrue="1" operator="lessThan">
      <formula>0</formula>
    </cfRule>
  </conditionalFormatting>
  <conditionalFormatting sqref="BK131:BK133 BK136:BK65536">
    <cfRule type="cellIs" dxfId="178" priority="45" stopIfTrue="1" operator="lessThan">
      <formula>0</formula>
    </cfRule>
  </conditionalFormatting>
  <conditionalFormatting sqref="BL119">
    <cfRule type="cellIs" dxfId="177" priority="36" stopIfTrue="1" operator="lessThan">
      <formula>0</formula>
    </cfRule>
  </conditionalFormatting>
  <conditionalFormatting sqref="BR1:BR10">
    <cfRule type="cellIs" dxfId="176" priority="34" stopIfTrue="1" operator="lessThan">
      <formula>0</formula>
    </cfRule>
  </conditionalFormatting>
  <conditionalFormatting sqref="BR12">
    <cfRule type="cellIs" dxfId="175" priority="33" stopIfTrue="1" operator="lessThan">
      <formula>0</formula>
    </cfRule>
  </conditionalFormatting>
  <conditionalFormatting sqref="BR16:BR47">
    <cfRule type="cellIs" dxfId="174" priority="30" stopIfTrue="1" operator="lessThan">
      <formula>0</formula>
    </cfRule>
  </conditionalFormatting>
  <conditionalFormatting sqref="BR48:BR58">
    <cfRule type="cellIs" dxfId="173" priority="32" stopIfTrue="1" operator="lessThan">
      <formula>0</formula>
    </cfRule>
  </conditionalFormatting>
  <conditionalFormatting sqref="BR50:BR54">
    <cfRule type="cellIs" dxfId="172" priority="31" stopIfTrue="1" operator="lessThan">
      <formula>0</formula>
    </cfRule>
  </conditionalFormatting>
  <conditionalFormatting sqref="BR59:BR95">
    <cfRule type="cellIs" dxfId="171" priority="29" stopIfTrue="1" operator="lessThan">
      <formula>0</formula>
    </cfRule>
  </conditionalFormatting>
  <conditionalFormatting sqref="BR99:BR117">
    <cfRule type="cellIs" dxfId="170" priority="28" stopIfTrue="1" operator="lessThan">
      <formula>0</formula>
    </cfRule>
  </conditionalFormatting>
  <conditionalFormatting sqref="BR121:BR129">
    <cfRule type="cellIs" dxfId="169" priority="27" stopIfTrue="1" operator="lessThan">
      <formula>0</formula>
    </cfRule>
  </conditionalFormatting>
  <conditionalFormatting sqref="BR131:BR133 BR136:BR65536">
    <cfRule type="cellIs" dxfId="168" priority="35" stopIfTrue="1" operator="lessThan">
      <formula>0</formula>
    </cfRule>
  </conditionalFormatting>
  <conditionalFormatting sqref="BS119">
    <cfRule type="cellIs" dxfId="167" priority="26" stopIfTrue="1" operator="lessThan">
      <formula>0</formula>
    </cfRule>
  </conditionalFormatting>
  <printOptions horizontalCentered="1"/>
  <pageMargins left="0.23622047244094491" right="0.23622047244094491" top="0.27559055118110237" bottom="0.35433070866141736" header="0.15748031496062992" footer="0.15748031496062992"/>
  <pageSetup paperSize="9" scale="60" orientation="portrait" r:id="rId1"/>
  <headerFooter alignWithMargins="0">
    <oddFooter>&amp;R&amp;P/&amp;N_x000D_&amp;1#&amp;"Aptos"&amp;10&amp;K0078D7 Classification : Internal</oddFooter>
  </headerFooter>
  <rowBreaks count="1" manualBreakCount="1">
    <brk id="1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F4B7-ED5A-41C9-B289-8CAF4F62807D}">
  <sheetPr>
    <tabColor rgb="FF92D050"/>
    <pageSetUpPr fitToPage="1"/>
  </sheetPr>
  <dimension ref="A1:BT135"/>
  <sheetViews>
    <sheetView showGridLines="0" topLeftCell="B50" zoomScale="80" zoomScaleNormal="80" zoomScaleSheetLayoutView="80" workbookViewId="0">
      <selection activeCell="E11" sqref="E11:I11"/>
    </sheetView>
  </sheetViews>
  <sheetFormatPr baseColWidth="10" defaultColWidth="9.109375" defaultRowHeight="13.8" outlineLevelRow="4" outlineLevelCol="1"/>
  <cols>
    <col min="1" max="1" width="39.33203125" style="16" customWidth="1" outlineLevel="1"/>
    <col min="2" max="2" width="76.109375" style="16" customWidth="1" outlineLevel="1"/>
    <col min="3" max="3" width="12.109375" style="16" customWidth="1" outlineLevel="1"/>
    <col min="4" max="4" width="45.6640625" style="17" customWidth="1"/>
    <col min="5" max="5" width="37" style="16" customWidth="1"/>
    <col min="6" max="6" width="0.88671875" style="16" customWidth="1"/>
    <col min="7" max="7" width="12.6640625" style="16" customWidth="1"/>
    <col min="8" max="8" width="0.88671875" style="16" customWidth="1"/>
    <col min="9" max="9" width="12.6640625" style="18" customWidth="1"/>
    <col min="10" max="10" width="1.6640625" style="16" customWidth="1"/>
    <col min="11" max="11" width="12.6640625" style="16" customWidth="1"/>
    <col min="12" max="12" width="0.88671875" style="16" customWidth="1"/>
    <col min="13" max="13" width="12.6640625" style="16" customWidth="1"/>
    <col min="14" max="14" width="0.88671875" style="16" customWidth="1"/>
    <col min="15" max="15" width="12.6640625" style="18" customWidth="1"/>
    <col min="16" max="16" width="1.6640625" style="19" customWidth="1"/>
    <col min="17" max="17" width="12.6640625" style="16" customWidth="1"/>
    <col min="18" max="18" width="0.88671875" style="16" customWidth="1"/>
    <col min="19" max="19" width="12.6640625" style="16" customWidth="1"/>
    <col min="20" max="20" width="0.88671875" style="16" customWidth="1"/>
    <col min="21" max="21" width="12.6640625" style="18" customWidth="1"/>
    <col min="22" max="22" width="3.5546875" style="16" customWidth="1"/>
    <col min="23" max="23" width="12.6640625" style="16" hidden="1" customWidth="1" outlineLevel="1"/>
    <col min="24" max="24" width="0.88671875" style="16" hidden="1" customWidth="1" outlineLevel="1"/>
    <col min="25" max="25" width="12.6640625" style="16" hidden="1" customWidth="1" outlineLevel="1"/>
    <col min="26" max="26" width="0.88671875" style="16" hidden="1" customWidth="1" outlineLevel="1"/>
    <col min="27" max="27" width="12.6640625" style="18" hidden="1" customWidth="1" outlineLevel="1"/>
    <col min="28" max="28" width="3.6640625" style="19" hidden="1" customWidth="1" outlineLevel="1"/>
    <col min="29" max="29" width="12.6640625" style="16" hidden="1" customWidth="1" outlineLevel="1"/>
    <col min="30" max="30" width="0.88671875" style="16" hidden="1" customWidth="1" outlineLevel="1"/>
    <col min="31" max="31" width="12.6640625" style="16" hidden="1" customWidth="1" outlineLevel="1"/>
    <col min="32" max="32" width="0.88671875" style="16" hidden="1" customWidth="1" outlineLevel="1"/>
    <col min="33" max="33" width="12.6640625" style="18" hidden="1" customWidth="1" outlineLevel="1"/>
    <col min="34" max="34" width="3.6640625" style="19" hidden="1" customWidth="1" outlineLevel="1"/>
    <col min="35" max="35" width="12.6640625" style="16" hidden="1" customWidth="1" outlineLevel="1"/>
    <col min="36" max="36" width="0.88671875" style="16" hidden="1" customWidth="1" outlineLevel="1"/>
    <col min="37" max="37" width="12.6640625" style="16" hidden="1" customWidth="1" outlineLevel="1"/>
    <col min="38" max="38" width="0.88671875" style="16" hidden="1" customWidth="1" outlineLevel="1"/>
    <col min="39" max="39" width="12.6640625" style="18" hidden="1" customWidth="1" outlineLevel="1"/>
    <col min="40" max="40" width="3.6640625" style="19" hidden="1" customWidth="1" outlineLevel="1"/>
    <col min="41" max="41" width="12.6640625" style="16" hidden="1" customWidth="1" outlineLevel="1"/>
    <col min="42" max="42" width="0.88671875" style="16" hidden="1" customWidth="1" outlineLevel="1"/>
    <col min="43" max="43" width="12.6640625" style="16" hidden="1" customWidth="1" outlineLevel="1"/>
    <col min="44" max="44" width="0.88671875" style="16" hidden="1" customWidth="1" outlineLevel="1"/>
    <col min="45" max="45" width="12.6640625" style="18" hidden="1" customWidth="1" outlineLevel="1"/>
    <col min="46" max="46" width="3.109375" style="19" hidden="1" customWidth="1" outlineLevel="1"/>
    <col min="47" max="47" width="12.6640625" style="16" hidden="1" customWidth="1" outlineLevel="1"/>
    <col min="48" max="48" width="0.88671875" style="16" hidden="1" customWidth="1" outlineLevel="1"/>
    <col min="49" max="49" width="12.6640625" style="16" hidden="1" customWidth="1" outlineLevel="1"/>
    <col min="50" max="50" width="0.88671875" style="16" hidden="1" customWidth="1" outlineLevel="1"/>
    <col min="51" max="51" width="12.6640625" style="18" hidden="1" customWidth="1" outlineLevel="1"/>
    <col min="52" max="52" width="3.44140625" style="16" hidden="1" customWidth="1" outlineLevel="1"/>
    <col min="53" max="53" width="12.6640625" style="16" hidden="1" customWidth="1" outlineLevel="1"/>
    <col min="54" max="54" width="0.88671875" style="16" hidden="1" customWidth="1" outlineLevel="1"/>
    <col min="55" max="55" width="12.6640625" style="16" hidden="1" customWidth="1" outlineLevel="1"/>
    <col min="56" max="56" width="0.6640625" style="16" hidden="1" customWidth="1" outlineLevel="1"/>
    <col min="57" max="57" width="16.6640625" style="18" hidden="1" customWidth="1" outlineLevel="1"/>
    <col min="58" max="58" width="9.109375" style="16" collapsed="1"/>
    <col min="59" max="59" width="12.6640625" style="16" hidden="1" customWidth="1" outlineLevel="1"/>
    <col min="60" max="60" width="0.88671875" style="16" hidden="1" customWidth="1" outlineLevel="1"/>
    <col min="61" max="61" width="12.6640625" style="16" hidden="1" customWidth="1" outlineLevel="1"/>
    <col min="62" max="62" width="0.88671875" style="16" hidden="1" customWidth="1" outlineLevel="1"/>
    <col min="63" max="63" width="12.6640625" style="18" hidden="1" customWidth="1" outlineLevel="1"/>
    <col min="64" max="64" width="3.109375" style="19" hidden="1" customWidth="1" outlineLevel="1"/>
    <col min="65" max="65" width="9.109375" style="16" collapsed="1"/>
    <col min="66" max="66" width="12.6640625" style="16" hidden="1" customWidth="1" outlineLevel="1"/>
    <col min="67" max="67" width="0.88671875" style="16" hidden="1" customWidth="1" outlineLevel="1"/>
    <col min="68" max="68" width="12.6640625" style="16" hidden="1" customWidth="1" outlineLevel="1"/>
    <col min="69" max="69" width="0.88671875" style="16" hidden="1" customWidth="1" outlineLevel="1"/>
    <col min="70" max="70" width="12.6640625" style="18" hidden="1" customWidth="1" outlineLevel="1"/>
    <col min="71" max="71" width="3.109375" style="19" hidden="1" customWidth="1" outlineLevel="1"/>
    <col min="72" max="72" width="9.109375" style="16" collapsed="1"/>
    <col min="73" max="16384" width="9.109375" style="16"/>
  </cols>
  <sheetData>
    <row r="1" spans="1:71" outlineLevel="2">
      <c r="A1" s="16" t="s">
        <v>222</v>
      </c>
    </row>
    <row r="2" spans="1:71" outlineLevel="2">
      <c r="A2" s="16" t="s">
        <v>223</v>
      </c>
    </row>
    <row r="3" spans="1:71" outlineLevel="2">
      <c r="A3" s="16" t="s">
        <v>224</v>
      </c>
    </row>
    <row r="4" spans="1:71" outlineLevel="2">
      <c r="A4" s="16" t="s">
        <v>225</v>
      </c>
      <c r="E4" s="20" t="s">
        <v>226</v>
      </c>
      <c r="F4" s="20"/>
      <c r="G4" s="20" t="s">
        <v>226</v>
      </c>
      <c r="H4" s="20"/>
      <c r="I4" s="21"/>
      <c r="J4" s="20"/>
      <c r="K4" s="20" t="s">
        <v>227</v>
      </c>
      <c r="L4" s="20"/>
      <c r="M4" s="20" t="s">
        <v>227</v>
      </c>
      <c r="N4" s="20"/>
      <c r="O4" s="21"/>
      <c r="P4" s="22"/>
      <c r="Q4" s="20" t="s">
        <v>228</v>
      </c>
      <c r="R4" s="20"/>
      <c r="S4" s="20" t="s">
        <v>228</v>
      </c>
      <c r="T4" s="20"/>
      <c r="U4" s="21"/>
      <c r="W4" s="20" t="s">
        <v>228</v>
      </c>
      <c r="X4" s="20"/>
      <c r="Y4" s="20" t="s">
        <v>228</v>
      </c>
      <c r="Z4" s="20"/>
      <c r="AA4" s="21"/>
      <c r="AB4" s="22"/>
      <c r="AC4" s="20" t="s">
        <v>228</v>
      </c>
      <c r="AD4" s="20"/>
      <c r="AE4" s="20" t="s">
        <v>228</v>
      </c>
      <c r="AF4" s="20"/>
      <c r="AG4" s="21"/>
      <c r="AH4" s="22"/>
      <c r="AI4" s="20" t="s">
        <v>228</v>
      </c>
      <c r="AJ4" s="20"/>
      <c r="AK4" s="20" t="s">
        <v>228</v>
      </c>
      <c r="AL4" s="20"/>
      <c r="AM4" s="21"/>
      <c r="AN4" s="22"/>
      <c r="AO4" s="20" t="s">
        <v>228</v>
      </c>
      <c r="AP4" s="20"/>
      <c r="AQ4" s="20" t="s">
        <v>228</v>
      </c>
      <c r="AR4" s="20"/>
      <c r="AS4" s="21"/>
      <c r="AT4" s="22"/>
      <c r="AU4" s="20"/>
      <c r="AV4" s="20"/>
      <c r="AW4" s="20"/>
      <c r="AX4" s="20"/>
      <c r="AY4" s="21"/>
      <c r="BA4" s="20" t="s">
        <v>228</v>
      </c>
      <c r="BB4" s="20" t="s">
        <v>228</v>
      </c>
      <c r="BC4" s="20" t="s">
        <v>228</v>
      </c>
      <c r="BD4" s="20"/>
      <c r="BE4" s="21"/>
      <c r="BG4" s="20" t="s">
        <v>228</v>
      </c>
      <c r="BH4" s="20"/>
      <c r="BI4" s="20" t="s">
        <v>228</v>
      </c>
      <c r="BJ4" s="20"/>
      <c r="BK4" s="21"/>
      <c r="BL4" s="22"/>
      <c r="BN4" s="20" t="s">
        <v>228</v>
      </c>
      <c r="BO4" s="20">
        <v>0</v>
      </c>
      <c r="BP4" s="20" t="s">
        <v>228</v>
      </c>
      <c r="BQ4" s="20"/>
      <c r="BR4" s="21"/>
      <c r="BS4" s="22"/>
    </row>
    <row r="5" spans="1:71" outlineLevel="2">
      <c r="E5" s="20" t="s">
        <v>229</v>
      </c>
      <c r="F5" s="20"/>
      <c r="G5" s="20" t="s">
        <v>230</v>
      </c>
      <c r="H5" s="20"/>
      <c r="I5" s="21"/>
      <c r="J5" s="20"/>
      <c r="K5" s="20" t="s">
        <v>229</v>
      </c>
      <c r="L5" s="20" t="s">
        <v>229</v>
      </c>
      <c r="M5" s="20" t="s">
        <v>230</v>
      </c>
      <c r="N5" s="20" t="s">
        <v>230</v>
      </c>
      <c r="O5" s="21"/>
      <c r="P5" s="22"/>
      <c r="Q5" s="20" t="s">
        <v>229</v>
      </c>
      <c r="R5" s="20" t="s">
        <v>229</v>
      </c>
      <c r="S5" s="20" t="s">
        <v>230</v>
      </c>
      <c r="T5" s="20" t="s">
        <v>230</v>
      </c>
      <c r="U5" s="21"/>
      <c r="W5" s="20" t="s">
        <v>229</v>
      </c>
      <c r="X5" s="20" t="s">
        <v>229</v>
      </c>
      <c r="Y5" s="20" t="s">
        <v>230</v>
      </c>
      <c r="Z5" s="20" t="s">
        <v>230</v>
      </c>
      <c r="AA5" s="21"/>
      <c r="AB5" s="22"/>
      <c r="AC5" s="20" t="s">
        <v>229</v>
      </c>
      <c r="AD5" s="20" t="s">
        <v>229</v>
      </c>
      <c r="AE5" s="20" t="s">
        <v>230</v>
      </c>
      <c r="AF5" s="20" t="s">
        <v>230</v>
      </c>
      <c r="AG5" s="21"/>
      <c r="AH5" s="22"/>
      <c r="AI5" s="20" t="s">
        <v>229</v>
      </c>
      <c r="AJ5" s="20" t="s">
        <v>229</v>
      </c>
      <c r="AK5" s="20" t="s">
        <v>230</v>
      </c>
      <c r="AL5" s="20" t="s">
        <v>230</v>
      </c>
      <c r="AM5" s="21"/>
      <c r="AN5" s="22"/>
      <c r="AO5" s="20" t="s">
        <v>229</v>
      </c>
      <c r="AP5" s="20" t="s">
        <v>229</v>
      </c>
      <c r="AQ5" s="20" t="s">
        <v>230</v>
      </c>
      <c r="AR5" s="20" t="s">
        <v>230</v>
      </c>
      <c r="AS5" s="21"/>
      <c r="AT5" s="22"/>
      <c r="AU5" s="20"/>
      <c r="AV5" s="20"/>
      <c r="AW5" s="20"/>
      <c r="AX5" s="20"/>
      <c r="AY5" s="21"/>
      <c r="BA5" s="20" t="s">
        <v>229</v>
      </c>
      <c r="BB5" s="20" t="s">
        <v>229</v>
      </c>
      <c r="BC5" s="20" t="s">
        <v>230</v>
      </c>
      <c r="BD5" s="20" t="s">
        <v>230</v>
      </c>
      <c r="BE5" s="21"/>
      <c r="BG5" s="20" t="s">
        <v>229</v>
      </c>
      <c r="BH5" s="20" t="s">
        <v>229</v>
      </c>
      <c r="BI5" s="20" t="s">
        <v>230</v>
      </c>
      <c r="BJ5" s="20" t="s">
        <v>230</v>
      </c>
      <c r="BK5" s="21"/>
      <c r="BL5" s="22"/>
      <c r="BN5" s="20" t="s">
        <v>229</v>
      </c>
      <c r="BO5" s="20" t="s">
        <v>229</v>
      </c>
      <c r="BP5" s="20" t="s">
        <v>230</v>
      </c>
      <c r="BQ5" s="20" t="s">
        <v>230</v>
      </c>
      <c r="BR5" s="21"/>
      <c r="BS5" s="22"/>
    </row>
    <row r="6" spans="1:71" outlineLevel="2">
      <c r="E6" s="20" t="s">
        <v>231</v>
      </c>
      <c r="F6" s="20" t="s">
        <v>232</v>
      </c>
      <c r="G6" s="20" t="s">
        <v>231</v>
      </c>
      <c r="H6" s="20"/>
      <c r="I6" s="21"/>
      <c r="J6" s="20"/>
      <c r="K6" s="20" t="s">
        <v>231</v>
      </c>
      <c r="L6" s="20" t="s">
        <v>231</v>
      </c>
      <c r="M6" s="20" t="s">
        <v>231</v>
      </c>
      <c r="N6" s="20" t="s">
        <v>231</v>
      </c>
      <c r="O6" s="21"/>
      <c r="P6" s="22"/>
      <c r="Q6" s="20" t="s">
        <v>231</v>
      </c>
      <c r="R6" s="20" t="s">
        <v>231</v>
      </c>
      <c r="S6" s="20" t="s">
        <v>231</v>
      </c>
      <c r="T6" s="20" t="s">
        <v>231</v>
      </c>
      <c r="U6" s="21"/>
      <c r="W6" s="20" t="s">
        <v>231</v>
      </c>
      <c r="X6" s="20" t="s">
        <v>231</v>
      </c>
      <c r="Y6" s="20" t="s">
        <v>231</v>
      </c>
      <c r="Z6" s="20" t="s">
        <v>231</v>
      </c>
      <c r="AA6" s="21"/>
      <c r="AB6" s="22"/>
      <c r="AC6" s="20" t="s">
        <v>231</v>
      </c>
      <c r="AD6" s="20" t="s">
        <v>231</v>
      </c>
      <c r="AE6" s="20" t="s">
        <v>231</v>
      </c>
      <c r="AF6" s="20" t="s">
        <v>231</v>
      </c>
      <c r="AG6" s="21"/>
      <c r="AH6" s="22"/>
      <c r="AI6" s="20" t="s">
        <v>231</v>
      </c>
      <c r="AJ6" s="20" t="s">
        <v>231</v>
      </c>
      <c r="AK6" s="20" t="s">
        <v>231</v>
      </c>
      <c r="AL6" s="20" t="s">
        <v>231</v>
      </c>
      <c r="AM6" s="21"/>
      <c r="AN6" s="22"/>
      <c r="AO6" s="20" t="s">
        <v>231</v>
      </c>
      <c r="AP6" s="20" t="s">
        <v>231</v>
      </c>
      <c r="AQ6" s="20" t="s">
        <v>231</v>
      </c>
      <c r="AR6" s="20" t="s">
        <v>231</v>
      </c>
      <c r="AS6" s="21"/>
      <c r="AT6" s="22"/>
      <c r="AU6" s="20"/>
      <c r="AV6" s="20"/>
      <c r="AW6" s="20"/>
      <c r="AX6" s="20"/>
      <c r="AY6" s="21"/>
      <c r="BA6" s="20" t="s">
        <v>231</v>
      </c>
      <c r="BB6" s="20" t="s">
        <v>231</v>
      </c>
      <c r="BC6" s="20" t="s">
        <v>231</v>
      </c>
      <c r="BD6" s="20" t="s">
        <v>231</v>
      </c>
      <c r="BE6" s="21"/>
      <c r="BG6" s="20" t="s">
        <v>231</v>
      </c>
      <c r="BH6" s="20" t="s">
        <v>231</v>
      </c>
      <c r="BI6" s="20" t="s">
        <v>231</v>
      </c>
      <c r="BJ6" s="20" t="s">
        <v>231</v>
      </c>
      <c r="BK6" s="21"/>
      <c r="BL6" s="22"/>
      <c r="BN6" s="20" t="s">
        <v>231</v>
      </c>
      <c r="BO6" s="20" t="s">
        <v>231</v>
      </c>
      <c r="BP6" s="20" t="s">
        <v>231</v>
      </c>
      <c r="BQ6" s="20" t="s">
        <v>231</v>
      </c>
      <c r="BR6" s="21"/>
      <c r="BS6" s="22"/>
    </row>
    <row r="7" spans="1:71" outlineLevel="2">
      <c r="E7" s="20" t="s">
        <v>233</v>
      </c>
      <c r="F7" s="20" t="s">
        <v>234</v>
      </c>
      <c r="G7" s="20" t="s">
        <v>233</v>
      </c>
      <c r="H7" s="20"/>
      <c r="I7" s="21"/>
      <c r="J7" s="20"/>
      <c r="K7" s="20" t="s">
        <v>233</v>
      </c>
      <c r="L7" s="20" t="s">
        <v>233</v>
      </c>
      <c r="M7" s="20" t="s">
        <v>233</v>
      </c>
      <c r="N7" s="20" t="s">
        <v>233</v>
      </c>
      <c r="O7" s="21"/>
      <c r="P7" s="22"/>
      <c r="Q7" s="20" t="s">
        <v>233</v>
      </c>
      <c r="R7" s="20" t="s">
        <v>233</v>
      </c>
      <c r="S7" s="20" t="s">
        <v>233</v>
      </c>
      <c r="T7" s="20" t="s">
        <v>233</v>
      </c>
      <c r="U7" s="21"/>
      <c r="W7" s="20" t="s">
        <v>233</v>
      </c>
      <c r="X7" s="20" t="s">
        <v>233</v>
      </c>
      <c r="Y7" s="20" t="s">
        <v>233</v>
      </c>
      <c r="Z7" s="20" t="s">
        <v>233</v>
      </c>
      <c r="AA7" s="21"/>
      <c r="AB7" s="22"/>
      <c r="AC7" s="20" t="s">
        <v>233</v>
      </c>
      <c r="AD7" s="20" t="s">
        <v>233</v>
      </c>
      <c r="AE7" s="20" t="s">
        <v>233</v>
      </c>
      <c r="AF7" s="20" t="s">
        <v>233</v>
      </c>
      <c r="AG7" s="21"/>
      <c r="AH7" s="22"/>
      <c r="AI7" s="20" t="s">
        <v>233</v>
      </c>
      <c r="AJ7" s="20" t="s">
        <v>233</v>
      </c>
      <c r="AK7" s="20" t="s">
        <v>233</v>
      </c>
      <c r="AL7" s="20" t="s">
        <v>233</v>
      </c>
      <c r="AM7" s="21"/>
      <c r="AN7" s="22"/>
      <c r="AO7" s="20" t="s">
        <v>233</v>
      </c>
      <c r="AP7" s="20" t="s">
        <v>233</v>
      </c>
      <c r="AQ7" s="20" t="s">
        <v>233</v>
      </c>
      <c r="AR7" s="20" t="s">
        <v>233</v>
      </c>
      <c r="AS7" s="21"/>
      <c r="AT7" s="22"/>
      <c r="AU7" s="20"/>
      <c r="AV7" s="20"/>
      <c r="AW7" s="20"/>
      <c r="AX7" s="20"/>
      <c r="AY7" s="21"/>
      <c r="BA7" s="20" t="s">
        <v>233</v>
      </c>
      <c r="BB7" s="20" t="s">
        <v>233</v>
      </c>
      <c r="BC7" s="20" t="s">
        <v>233</v>
      </c>
      <c r="BD7" s="20" t="s">
        <v>233</v>
      </c>
      <c r="BE7" s="21"/>
      <c r="BG7" s="20" t="s">
        <v>233</v>
      </c>
      <c r="BH7" s="20" t="s">
        <v>233</v>
      </c>
      <c r="BI7" s="20" t="s">
        <v>233</v>
      </c>
      <c r="BJ7" s="20" t="s">
        <v>233</v>
      </c>
      <c r="BK7" s="21"/>
      <c r="BL7" s="22"/>
      <c r="BN7" s="20" t="s">
        <v>233</v>
      </c>
      <c r="BO7" s="20" t="s">
        <v>233</v>
      </c>
      <c r="BP7" s="20" t="s">
        <v>233</v>
      </c>
      <c r="BQ7" s="20" t="s">
        <v>233</v>
      </c>
      <c r="BR7" s="21"/>
      <c r="BS7" s="22"/>
    </row>
    <row r="8" spans="1:71" outlineLevel="2">
      <c r="E8" s="20" t="s">
        <v>384</v>
      </c>
      <c r="F8" s="20"/>
      <c r="G8" s="20" t="s">
        <v>384</v>
      </c>
      <c r="H8" s="20"/>
      <c r="I8" s="21"/>
      <c r="J8" s="20"/>
      <c r="K8" s="20" t="s">
        <v>384</v>
      </c>
      <c r="L8" s="20" t="s">
        <v>384</v>
      </c>
      <c r="M8" s="20" t="s">
        <v>384</v>
      </c>
      <c r="N8" s="20" t="s">
        <v>384</v>
      </c>
      <c r="O8" s="21"/>
      <c r="P8" s="22"/>
      <c r="Q8" s="20" t="s">
        <v>384</v>
      </c>
      <c r="R8" s="20" t="s">
        <v>384</v>
      </c>
      <c r="S8" s="20" t="s">
        <v>384</v>
      </c>
      <c r="T8" s="20" t="s">
        <v>384</v>
      </c>
      <c r="U8" s="21"/>
      <c r="W8" s="20" t="s">
        <v>384</v>
      </c>
      <c r="X8" s="20" t="s">
        <v>384</v>
      </c>
      <c r="Y8" s="20" t="s">
        <v>384</v>
      </c>
      <c r="Z8" s="20" t="s">
        <v>384</v>
      </c>
      <c r="AA8" s="21"/>
      <c r="AB8" s="22"/>
      <c r="AC8" s="20" t="s">
        <v>384</v>
      </c>
      <c r="AD8" s="20" t="s">
        <v>384</v>
      </c>
      <c r="AE8" s="20" t="s">
        <v>384</v>
      </c>
      <c r="AF8" s="20" t="s">
        <v>384</v>
      </c>
      <c r="AG8" s="21"/>
      <c r="AH8" s="22"/>
      <c r="AI8" s="20" t="s">
        <v>384</v>
      </c>
      <c r="AJ8" s="20" t="s">
        <v>384</v>
      </c>
      <c r="AK8" s="20" t="s">
        <v>384</v>
      </c>
      <c r="AL8" s="20" t="s">
        <v>384</v>
      </c>
      <c r="AM8" s="21"/>
      <c r="AN8" s="22"/>
      <c r="AO8" s="20" t="s">
        <v>384</v>
      </c>
      <c r="AP8" s="20" t="s">
        <v>384</v>
      </c>
      <c r="AQ8" s="20" t="s">
        <v>384</v>
      </c>
      <c r="AR8" s="20" t="s">
        <v>384</v>
      </c>
      <c r="AS8" s="21"/>
      <c r="AT8" s="22"/>
      <c r="AU8" s="20"/>
      <c r="AV8" s="20"/>
      <c r="AW8" s="20"/>
      <c r="AX8" s="20"/>
      <c r="AY8" s="21"/>
      <c r="BA8" s="20" t="s">
        <v>384</v>
      </c>
      <c r="BB8" s="20" t="s">
        <v>384</v>
      </c>
      <c r="BC8" s="20" t="s">
        <v>384</v>
      </c>
      <c r="BD8" s="20" t="s">
        <v>384</v>
      </c>
      <c r="BE8" s="21"/>
      <c r="BG8" s="20" t="s">
        <v>384</v>
      </c>
      <c r="BH8" s="20" t="s">
        <v>384</v>
      </c>
      <c r="BI8" s="20" t="s">
        <v>384</v>
      </c>
      <c r="BJ8" s="20" t="s">
        <v>384</v>
      </c>
      <c r="BK8" s="21"/>
      <c r="BL8" s="22"/>
      <c r="BN8" s="20" t="s">
        <v>384</v>
      </c>
      <c r="BO8" s="20" t="s">
        <v>384</v>
      </c>
      <c r="BP8" s="20" t="s">
        <v>384</v>
      </c>
      <c r="BQ8" s="20" t="s">
        <v>384</v>
      </c>
      <c r="BR8" s="21"/>
      <c r="BS8" s="22"/>
    </row>
    <row r="9" spans="1:71" outlineLevel="2">
      <c r="E9" s="20" t="s">
        <v>385</v>
      </c>
      <c r="F9" s="20"/>
      <c r="G9" s="20" t="s">
        <v>385</v>
      </c>
      <c r="H9" s="20"/>
      <c r="I9" s="21"/>
      <c r="J9" s="20"/>
      <c r="K9" s="20" t="s">
        <v>385</v>
      </c>
      <c r="L9" s="20" t="s">
        <v>385</v>
      </c>
      <c r="M9" s="20" t="s">
        <v>385</v>
      </c>
      <c r="N9" s="20" t="s">
        <v>385</v>
      </c>
      <c r="O9" s="21"/>
      <c r="P9" s="22"/>
      <c r="Q9" s="20" t="s">
        <v>385</v>
      </c>
      <c r="R9" s="20" t="s">
        <v>385</v>
      </c>
      <c r="S9" s="20" t="s">
        <v>385</v>
      </c>
      <c r="T9" s="20" t="s">
        <v>385</v>
      </c>
      <c r="U9" s="21"/>
      <c r="W9" s="20" t="s">
        <v>385</v>
      </c>
      <c r="X9" s="20" t="s">
        <v>385</v>
      </c>
      <c r="Y9" s="20" t="s">
        <v>385</v>
      </c>
      <c r="Z9" s="20" t="s">
        <v>385</v>
      </c>
      <c r="AA9" s="21"/>
      <c r="AB9" s="22"/>
      <c r="AC9" s="20" t="s">
        <v>385</v>
      </c>
      <c r="AD9" s="20" t="s">
        <v>385</v>
      </c>
      <c r="AE9" s="20" t="s">
        <v>385</v>
      </c>
      <c r="AF9" s="20" t="s">
        <v>385</v>
      </c>
      <c r="AG9" s="21"/>
      <c r="AH9" s="22"/>
      <c r="AI9" s="20" t="s">
        <v>385</v>
      </c>
      <c r="AJ9" s="20" t="s">
        <v>385</v>
      </c>
      <c r="AK9" s="20" t="s">
        <v>385</v>
      </c>
      <c r="AL9" s="20" t="s">
        <v>385</v>
      </c>
      <c r="AM9" s="21"/>
      <c r="AN9" s="22"/>
      <c r="AO9" s="20" t="s">
        <v>385</v>
      </c>
      <c r="AP9" s="20" t="s">
        <v>385</v>
      </c>
      <c r="AQ9" s="20" t="s">
        <v>385</v>
      </c>
      <c r="AR9" s="20" t="s">
        <v>385</v>
      </c>
      <c r="AS9" s="21"/>
      <c r="AT9" s="22"/>
      <c r="AU9" s="20"/>
      <c r="AV9" s="20"/>
      <c r="AW9" s="20"/>
      <c r="AX9" s="20"/>
      <c r="AY9" s="21"/>
      <c r="BA9" s="20" t="s">
        <v>385</v>
      </c>
      <c r="BB9" s="20" t="s">
        <v>385</v>
      </c>
      <c r="BC9" s="20" t="s">
        <v>385</v>
      </c>
      <c r="BD9" s="20" t="s">
        <v>385</v>
      </c>
      <c r="BE9" s="21"/>
      <c r="BG9" s="20" t="s">
        <v>385</v>
      </c>
      <c r="BH9" s="20" t="s">
        <v>385</v>
      </c>
      <c r="BI9" s="20" t="s">
        <v>385</v>
      </c>
      <c r="BJ9" s="20" t="s">
        <v>385</v>
      </c>
      <c r="BK9" s="21"/>
      <c r="BL9" s="22"/>
      <c r="BN9" s="20" t="s">
        <v>385</v>
      </c>
      <c r="BO9" s="20" t="s">
        <v>385</v>
      </c>
      <c r="BP9" s="20" t="s">
        <v>385</v>
      </c>
      <c r="BQ9" s="20" t="s">
        <v>385</v>
      </c>
      <c r="BR9" s="21"/>
      <c r="BS9" s="22"/>
    </row>
    <row r="10" spans="1:71" outlineLevel="2">
      <c r="E10" s="20" t="s">
        <v>235</v>
      </c>
      <c r="F10" s="20"/>
      <c r="G10" s="20" t="s">
        <v>235</v>
      </c>
      <c r="H10" s="20"/>
      <c r="I10" s="21"/>
      <c r="J10" s="20"/>
      <c r="K10" s="20" t="s">
        <v>236</v>
      </c>
      <c r="L10" s="20" t="s">
        <v>237</v>
      </c>
      <c r="M10" s="20" t="s">
        <v>236</v>
      </c>
      <c r="N10" s="20" t="s">
        <v>237</v>
      </c>
      <c r="O10" s="21"/>
      <c r="P10" s="22"/>
      <c r="Q10" s="20" t="s">
        <v>238</v>
      </c>
      <c r="R10" s="20" t="s">
        <v>239</v>
      </c>
      <c r="S10" s="20" t="s">
        <v>238</v>
      </c>
      <c r="T10" s="20" t="s">
        <v>239</v>
      </c>
      <c r="U10" s="21"/>
      <c r="W10" s="20" t="s">
        <v>240</v>
      </c>
      <c r="X10" s="20" t="s">
        <v>240</v>
      </c>
      <c r="Y10" s="20" t="s">
        <v>240</v>
      </c>
      <c r="Z10" s="20" t="s">
        <v>240</v>
      </c>
      <c r="AA10" s="21"/>
      <c r="AB10" s="22"/>
      <c r="AC10" s="23" t="s">
        <v>241</v>
      </c>
      <c r="AD10" s="23" t="s">
        <v>241</v>
      </c>
      <c r="AE10" s="23" t="s">
        <v>241</v>
      </c>
      <c r="AF10" s="23" t="s">
        <v>241</v>
      </c>
      <c r="AG10" s="21"/>
      <c r="AH10" s="22"/>
      <c r="AI10" s="23" t="s">
        <v>242</v>
      </c>
      <c r="AJ10" s="23" t="s">
        <v>242</v>
      </c>
      <c r="AK10" s="23" t="s">
        <v>242</v>
      </c>
      <c r="AL10" s="23" t="s">
        <v>242</v>
      </c>
      <c r="AM10" s="21"/>
      <c r="AN10" s="22"/>
      <c r="AO10" s="20" t="s">
        <v>243</v>
      </c>
      <c r="AP10" s="20" t="s">
        <v>243</v>
      </c>
      <c r="AQ10" s="20" t="s">
        <v>243</v>
      </c>
      <c r="AR10" s="20" t="s">
        <v>243</v>
      </c>
      <c r="AS10" s="21"/>
      <c r="AT10" s="22"/>
      <c r="AU10" s="20"/>
      <c r="AV10" s="20"/>
      <c r="AW10" s="20"/>
      <c r="AX10" s="20"/>
      <c r="AY10" s="21"/>
      <c r="BA10" s="20" t="s">
        <v>238</v>
      </c>
      <c r="BB10" s="20" t="s">
        <v>239</v>
      </c>
      <c r="BC10" s="20" t="s">
        <v>238</v>
      </c>
      <c r="BD10" s="20" t="s">
        <v>239</v>
      </c>
      <c r="BE10" s="21"/>
      <c r="BG10" s="20" t="s">
        <v>244</v>
      </c>
      <c r="BH10" s="20"/>
      <c r="BI10" s="20" t="s">
        <v>244</v>
      </c>
      <c r="BJ10" s="20"/>
      <c r="BK10" s="21"/>
      <c r="BL10" s="22"/>
      <c r="BN10" s="20" t="s">
        <v>245</v>
      </c>
      <c r="BO10" s="20" t="s">
        <v>245</v>
      </c>
      <c r="BP10" s="20" t="s">
        <v>245</v>
      </c>
      <c r="BQ10" s="20" t="s">
        <v>245</v>
      </c>
      <c r="BR10" s="21"/>
      <c r="BS10" s="22"/>
    </row>
    <row r="11" spans="1:71" ht="45" customHeight="1">
      <c r="D11" s="24" t="s">
        <v>246</v>
      </c>
      <c r="E11" s="275" t="s">
        <v>386</v>
      </c>
      <c r="F11" s="275"/>
      <c r="G11" s="275"/>
      <c r="H11" s="275"/>
      <c r="I11" s="275"/>
      <c r="J11" s="25"/>
      <c r="K11" s="275" t="s">
        <v>387</v>
      </c>
      <c r="L11" s="275"/>
      <c r="M11" s="275"/>
      <c r="N11" s="275"/>
      <c r="O11" s="275"/>
      <c r="P11" s="26"/>
      <c r="Q11" s="275" t="s">
        <v>388</v>
      </c>
      <c r="R11" s="275"/>
      <c r="S11" s="275"/>
      <c r="T11" s="275"/>
      <c r="U11" s="275"/>
      <c r="V11" s="27"/>
      <c r="W11" s="269" t="s">
        <v>247</v>
      </c>
      <c r="X11" s="269"/>
      <c r="Y11" s="269"/>
      <c r="Z11" s="269">
        <v>0</v>
      </c>
      <c r="AA11" s="269"/>
      <c r="AB11" s="27"/>
      <c r="AC11" s="269" t="s">
        <v>248</v>
      </c>
      <c r="AD11" s="269"/>
      <c r="AE11" s="269"/>
      <c r="AF11" s="269">
        <v>0</v>
      </c>
      <c r="AG11" s="269"/>
      <c r="AH11" s="27"/>
      <c r="AI11" s="269" t="s">
        <v>249</v>
      </c>
      <c r="AJ11" s="269"/>
      <c r="AK11" s="269"/>
      <c r="AL11" s="269">
        <v>0</v>
      </c>
      <c r="AM11" s="269"/>
      <c r="AN11" s="27"/>
      <c r="AO11" s="269" t="s">
        <v>250</v>
      </c>
      <c r="AP11" s="269"/>
      <c r="AQ11" s="269"/>
      <c r="AR11" s="269">
        <v>0</v>
      </c>
      <c r="AS11" s="269"/>
      <c r="AT11" s="26"/>
      <c r="AU11" s="270" t="s">
        <v>251</v>
      </c>
      <c r="AV11" s="270"/>
      <c r="AW11" s="270"/>
      <c r="AX11" s="270"/>
      <c r="AY11" s="270"/>
      <c r="AZ11" s="27"/>
      <c r="BA11" s="28"/>
      <c r="BB11" s="28"/>
      <c r="BC11" s="28"/>
      <c r="BD11" s="28"/>
      <c r="BE11" s="28"/>
      <c r="BG11" s="269" t="s">
        <v>250</v>
      </c>
      <c r="BH11" s="269"/>
      <c r="BI11" s="269"/>
      <c r="BJ11" s="269">
        <v>0</v>
      </c>
      <c r="BK11" s="269"/>
      <c r="BL11" s="26"/>
      <c r="BN11" s="269" t="s">
        <v>250</v>
      </c>
      <c r="BO11" s="269"/>
      <c r="BP11" s="269"/>
      <c r="BQ11" s="269">
        <v>0</v>
      </c>
      <c r="BR11" s="269"/>
      <c r="BS11" s="26"/>
    </row>
    <row r="12" spans="1:71" ht="5.25" customHeight="1" collapsed="1">
      <c r="D12" s="29"/>
      <c r="P12" s="30"/>
      <c r="AB12" s="30"/>
      <c r="AH12" s="30"/>
      <c r="AN12" s="30"/>
      <c r="AT12" s="30"/>
      <c r="BA12" s="20"/>
      <c r="BL12" s="30"/>
      <c r="BS12" s="30"/>
    </row>
    <row r="13" spans="1:71" ht="24.9" customHeight="1" thickBot="1">
      <c r="A13" s="16" t="s">
        <v>252</v>
      </c>
      <c r="D13" s="31"/>
      <c r="E13" s="271"/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2"/>
      <c r="R13" s="272"/>
      <c r="S13" s="272"/>
      <c r="T13" s="272"/>
      <c r="U13" s="272"/>
      <c r="V13" s="33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K13" s="16"/>
      <c r="BL13" s="16"/>
      <c r="BR13" s="16"/>
      <c r="BS13" s="16"/>
    </row>
    <row r="14" spans="1:71" s="25" customFormat="1" ht="7.5" customHeight="1">
      <c r="D14" s="273" t="s">
        <v>253</v>
      </c>
      <c r="E14" s="266" t="s">
        <v>254</v>
      </c>
      <c r="F14" s="34"/>
      <c r="G14" s="262" t="s">
        <v>255</v>
      </c>
      <c r="H14" s="34"/>
      <c r="I14" s="264" t="s">
        <v>256</v>
      </c>
      <c r="J14" s="35"/>
      <c r="K14" s="266" t="s">
        <v>254</v>
      </c>
      <c r="L14" s="34"/>
      <c r="M14" s="262" t="s">
        <v>255</v>
      </c>
      <c r="N14" s="36"/>
      <c r="O14" s="264" t="s">
        <v>256</v>
      </c>
      <c r="P14" s="37"/>
      <c r="Q14" s="266" t="s">
        <v>254</v>
      </c>
      <c r="R14" s="36"/>
      <c r="S14" s="262" t="s">
        <v>255</v>
      </c>
      <c r="T14" s="36"/>
      <c r="U14" s="264" t="s">
        <v>256</v>
      </c>
      <c r="W14" s="266" t="s">
        <v>254</v>
      </c>
      <c r="X14" s="36"/>
      <c r="Y14" s="262" t="s">
        <v>255</v>
      </c>
      <c r="Z14" s="36"/>
      <c r="AA14" s="264" t="s">
        <v>256</v>
      </c>
      <c r="AB14" s="37"/>
      <c r="AC14" s="266" t="s">
        <v>254</v>
      </c>
      <c r="AD14" s="36"/>
      <c r="AE14" s="262" t="s">
        <v>255</v>
      </c>
      <c r="AF14" s="36"/>
      <c r="AG14" s="264" t="s">
        <v>256</v>
      </c>
      <c r="AH14" s="37"/>
      <c r="AI14" s="266" t="s">
        <v>254</v>
      </c>
      <c r="AJ14" s="36"/>
      <c r="AK14" s="262" t="s">
        <v>255</v>
      </c>
      <c r="AL14" s="36"/>
      <c r="AM14" s="264" t="s">
        <v>256</v>
      </c>
      <c r="AN14" s="37"/>
      <c r="AO14" s="266" t="s">
        <v>254</v>
      </c>
      <c r="AP14" s="36"/>
      <c r="AQ14" s="262" t="s">
        <v>255</v>
      </c>
      <c r="AR14" s="36"/>
      <c r="AS14" s="264" t="s">
        <v>256</v>
      </c>
      <c r="AT14" s="37"/>
      <c r="AU14" s="266" t="s">
        <v>254</v>
      </c>
      <c r="AV14" s="36"/>
      <c r="AW14" s="262" t="s">
        <v>255</v>
      </c>
      <c r="AX14" s="36"/>
      <c r="AY14" s="264" t="s">
        <v>256</v>
      </c>
      <c r="BA14" s="266" t="s">
        <v>254</v>
      </c>
      <c r="BB14" s="36"/>
      <c r="BC14" s="262" t="s">
        <v>255</v>
      </c>
      <c r="BD14" s="36"/>
      <c r="BE14" s="264" t="s">
        <v>389</v>
      </c>
      <c r="BG14" s="266" t="s">
        <v>254</v>
      </c>
      <c r="BH14" s="36"/>
      <c r="BI14" s="262" t="s">
        <v>255</v>
      </c>
      <c r="BJ14" s="36"/>
      <c r="BK14" s="264" t="s">
        <v>256</v>
      </c>
      <c r="BL14" s="37"/>
      <c r="BN14" s="266">
        <v>0</v>
      </c>
      <c r="BO14" s="36"/>
      <c r="BP14" s="262">
        <v>0</v>
      </c>
      <c r="BQ14" s="36"/>
      <c r="BR14" s="264">
        <v>0</v>
      </c>
      <c r="BS14" s="37"/>
    </row>
    <row r="15" spans="1:71" s="25" customFormat="1" ht="36.75" customHeight="1">
      <c r="D15" s="274"/>
      <c r="E15" s="267" t="s">
        <v>257</v>
      </c>
      <c r="F15" s="35"/>
      <c r="G15" s="263" t="s">
        <v>257</v>
      </c>
      <c r="H15" s="35"/>
      <c r="I15" s="268"/>
      <c r="J15" s="35"/>
      <c r="K15" s="267" t="e">
        <v>#REF!</v>
      </c>
      <c r="L15" s="35"/>
      <c r="M15" s="263" t="e">
        <v>#REF!</v>
      </c>
      <c r="N15" s="38"/>
      <c r="O15" s="268"/>
      <c r="P15" s="37"/>
      <c r="Q15" s="267" t="s">
        <v>257</v>
      </c>
      <c r="R15" s="38"/>
      <c r="S15" s="263" t="s">
        <v>257</v>
      </c>
      <c r="T15" s="38"/>
      <c r="U15" s="265"/>
      <c r="W15" s="267" t="s">
        <v>257</v>
      </c>
      <c r="X15" s="38"/>
      <c r="Y15" s="263" t="s">
        <v>257</v>
      </c>
      <c r="Z15" s="38"/>
      <c r="AA15" s="265"/>
      <c r="AB15" s="37"/>
      <c r="AC15" s="267" t="s">
        <v>257</v>
      </c>
      <c r="AD15" s="38"/>
      <c r="AE15" s="263" t="s">
        <v>257</v>
      </c>
      <c r="AF15" s="38"/>
      <c r="AG15" s="265"/>
      <c r="AH15" s="37"/>
      <c r="AI15" s="267" t="s">
        <v>257</v>
      </c>
      <c r="AJ15" s="38"/>
      <c r="AK15" s="263" t="s">
        <v>257</v>
      </c>
      <c r="AL15" s="38"/>
      <c r="AM15" s="265"/>
      <c r="AN15" s="37"/>
      <c r="AO15" s="267" t="s">
        <v>257</v>
      </c>
      <c r="AP15" s="38"/>
      <c r="AQ15" s="263" t="s">
        <v>257</v>
      </c>
      <c r="AR15" s="38"/>
      <c r="AS15" s="265"/>
      <c r="AT15" s="37"/>
      <c r="AU15" s="267" t="s">
        <v>257</v>
      </c>
      <c r="AV15" s="38"/>
      <c r="AW15" s="263" t="s">
        <v>257</v>
      </c>
      <c r="AX15" s="38"/>
      <c r="AY15" s="265"/>
      <c r="BA15" s="267" t="s">
        <v>257</v>
      </c>
      <c r="BB15" s="38"/>
      <c r="BC15" s="263" t="s">
        <v>257</v>
      </c>
      <c r="BD15" s="38"/>
      <c r="BE15" s="268" t="s">
        <v>258</v>
      </c>
      <c r="BG15" s="267" t="s">
        <v>257</v>
      </c>
      <c r="BH15" s="38"/>
      <c r="BI15" s="263" t="s">
        <v>257</v>
      </c>
      <c r="BJ15" s="38"/>
      <c r="BK15" s="265"/>
      <c r="BL15" s="37"/>
      <c r="BN15" s="267" t="s">
        <v>257</v>
      </c>
      <c r="BO15" s="38"/>
      <c r="BP15" s="263" t="s">
        <v>257</v>
      </c>
      <c r="BQ15" s="38"/>
      <c r="BR15" s="265"/>
      <c r="BS15" s="37"/>
    </row>
    <row r="16" spans="1:71" ht="5.25" customHeight="1">
      <c r="E16" s="39"/>
      <c r="F16" s="17"/>
      <c r="G16" s="40"/>
      <c r="H16" s="17"/>
      <c r="I16" s="41"/>
      <c r="J16" s="42"/>
      <c r="K16" s="39"/>
      <c r="L16" s="17"/>
      <c r="M16" s="40"/>
      <c r="N16" s="17"/>
      <c r="O16" s="41"/>
      <c r="P16" s="43"/>
      <c r="Q16" s="39"/>
      <c r="R16" s="17"/>
      <c r="S16" s="40"/>
      <c r="T16" s="17"/>
      <c r="U16" s="41"/>
      <c r="V16" s="25"/>
      <c r="W16" s="39"/>
      <c r="X16" s="17"/>
      <c r="Y16" s="40"/>
      <c r="Z16" s="17"/>
      <c r="AA16" s="41"/>
      <c r="AB16" s="43"/>
      <c r="AC16" s="39"/>
      <c r="AD16" s="17"/>
      <c r="AE16" s="40"/>
      <c r="AF16" s="17"/>
      <c r="AG16" s="41"/>
      <c r="AH16" s="43"/>
      <c r="AI16" s="39"/>
      <c r="AJ16" s="17"/>
      <c r="AK16" s="40"/>
      <c r="AL16" s="17"/>
      <c r="AM16" s="41"/>
      <c r="AN16" s="43"/>
      <c r="AO16" s="39"/>
      <c r="AP16" s="17"/>
      <c r="AQ16" s="40"/>
      <c r="AR16" s="17"/>
      <c r="AS16" s="41"/>
      <c r="AT16" s="43"/>
      <c r="AU16" s="39"/>
      <c r="AV16" s="17"/>
      <c r="AW16" s="40"/>
      <c r="AX16" s="17"/>
      <c r="AY16" s="41"/>
      <c r="BA16" s="39"/>
      <c r="BB16" s="17"/>
      <c r="BC16" s="40"/>
      <c r="BD16" s="17"/>
      <c r="BE16" s="41"/>
      <c r="BG16" s="39"/>
      <c r="BH16" s="17"/>
      <c r="BI16" s="40"/>
      <c r="BJ16" s="17"/>
      <c r="BK16" s="41"/>
      <c r="BL16" s="43"/>
      <c r="BN16" s="39"/>
      <c r="BO16" s="17"/>
      <c r="BP16" s="40"/>
      <c r="BQ16" s="17"/>
      <c r="BR16" s="41"/>
      <c r="BS16" s="43"/>
    </row>
    <row r="17" spans="1:71" s="44" customFormat="1">
      <c r="D17" s="45" t="s">
        <v>259</v>
      </c>
      <c r="E17" s="46">
        <v>-12412.955148576566</v>
      </c>
      <c r="F17" s="47"/>
      <c r="G17" s="48">
        <v>-12973.404009973712</v>
      </c>
      <c r="H17" s="47"/>
      <c r="I17" s="49">
        <v>560.44886139714617</v>
      </c>
      <c r="J17" s="50"/>
      <c r="K17" s="46">
        <v>-16226.10856583271</v>
      </c>
      <c r="L17" s="47"/>
      <c r="M17" s="48">
        <v>-17214.289940719718</v>
      </c>
      <c r="N17" s="51"/>
      <c r="O17" s="52">
        <v>988.18137488700813</v>
      </c>
      <c r="P17" s="53"/>
      <c r="Q17" s="46">
        <v>-28686.611714409279</v>
      </c>
      <c r="R17" s="51"/>
      <c r="S17" s="48">
        <v>-30201.636950693428</v>
      </c>
      <c r="T17" s="51"/>
      <c r="U17" s="49">
        <v>1515.0252362841493</v>
      </c>
      <c r="V17" s="25"/>
      <c r="W17" s="46">
        <v>-119.137061911572</v>
      </c>
      <c r="X17" s="51"/>
      <c r="Y17" s="48">
        <v>139.30339487432201</v>
      </c>
      <c r="Z17" s="51"/>
      <c r="AA17" s="49">
        <v>-258.44045678589401</v>
      </c>
      <c r="AB17" s="53"/>
      <c r="AC17" s="46">
        <v>45.960000000000008</v>
      </c>
      <c r="AD17" s="51"/>
      <c r="AE17" s="48">
        <v>16.534000000000006</v>
      </c>
      <c r="AF17" s="51"/>
      <c r="AG17" s="49">
        <v>29.426000000000002</v>
      </c>
      <c r="AH17" s="53"/>
      <c r="AI17" s="46">
        <v>-65.191365549959201</v>
      </c>
      <c r="AJ17" s="51"/>
      <c r="AK17" s="48">
        <v>418.51144289642298</v>
      </c>
      <c r="AL17" s="51"/>
      <c r="AM17" s="49">
        <v>-483.70280844638216</v>
      </c>
      <c r="AN17" s="53"/>
      <c r="AO17" s="46">
        <v>-12830.983488814514</v>
      </c>
      <c r="AP17" s="51"/>
      <c r="AQ17" s="48">
        <v>-9622.1916064529178</v>
      </c>
      <c r="AR17" s="51"/>
      <c r="AS17" s="49">
        <v>-3208.7918823615964</v>
      </c>
      <c r="AT17" s="53"/>
      <c r="AU17" s="46">
        <v>-12969.351916276046</v>
      </c>
      <c r="AV17" s="51"/>
      <c r="AW17" s="48">
        <v>-9047.8427686821724</v>
      </c>
      <c r="AX17" s="51"/>
      <c r="AY17" s="49">
        <v>-3921.5091475938734</v>
      </c>
      <c r="BA17" s="46">
        <v>-15855.628225594764</v>
      </c>
      <c r="BB17" s="51"/>
      <c r="BC17" s="48">
        <v>-20579.44534424051</v>
      </c>
      <c r="BD17" s="51"/>
      <c r="BE17" s="49">
        <v>4723.8171186457457</v>
      </c>
      <c r="BG17" s="46">
        <v>-6633.5245066633925</v>
      </c>
      <c r="BH17" s="51"/>
      <c r="BI17" s="48">
        <v>-4380.9435602291578</v>
      </c>
      <c r="BJ17" s="51"/>
      <c r="BK17" s="49">
        <v>-2252.5809464342346</v>
      </c>
      <c r="BL17" s="53"/>
      <c r="BN17" s="46">
        <v>-6197.4589821510999</v>
      </c>
      <c r="BO17" s="51"/>
      <c r="BP17" s="48">
        <v>-5241.24804622376</v>
      </c>
      <c r="BQ17" s="51"/>
      <c r="BR17" s="49">
        <v>-956.21093592733996</v>
      </c>
      <c r="BS17" s="53"/>
    </row>
    <row r="18" spans="1:71" s="64" customFormat="1" outlineLevel="1">
      <c r="A18" s="54" t="s">
        <v>260</v>
      </c>
      <c r="B18" s="55" t="s">
        <v>261</v>
      </c>
      <c r="C18" s="55" t="s">
        <v>262</v>
      </c>
      <c r="D18" s="56" t="s">
        <v>263</v>
      </c>
      <c r="E18" s="57">
        <v>0</v>
      </c>
      <c r="F18" s="58"/>
      <c r="G18" s="59">
        <v>0</v>
      </c>
      <c r="H18" s="58"/>
      <c r="I18" s="60">
        <v>0</v>
      </c>
      <c r="J18" s="61"/>
      <c r="K18" s="57">
        <v>0</v>
      </c>
      <c r="L18" s="58"/>
      <c r="M18" s="59">
        <v>0</v>
      </c>
      <c r="N18" s="62"/>
      <c r="O18" s="60">
        <v>0</v>
      </c>
      <c r="P18" s="63"/>
      <c r="Q18" s="57">
        <v>0</v>
      </c>
      <c r="R18" s="62"/>
      <c r="S18" s="59">
        <v>0</v>
      </c>
      <c r="T18" s="62"/>
      <c r="U18" s="60">
        <v>0</v>
      </c>
      <c r="V18" s="25"/>
      <c r="W18" s="57">
        <v>0</v>
      </c>
      <c r="X18" s="62"/>
      <c r="Y18" s="59">
        <v>0</v>
      </c>
      <c r="Z18" s="62"/>
      <c r="AA18" s="60">
        <v>0</v>
      </c>
      <c r="AB18" s="63"/>
      <c r="AC18" s="57">
        <v>0</v>
      </c>
      <c r="AD18" s="62"/>
      <c r="AE18" s="59">
        <v>0</v>
      </c>
      <c r="AF18" s="62"/>
      <c r="AG18" s="60">
        <v>0</v>
      </c>
      <c r="AH18" s="63"/>
      <c r="AI18" s="57">
        <v>0</v>
      </c>
      <c r="AJ18" s="62"/>
      <c r="AK18" s="59">
        <v>0</v>
      </c>
      <c r="AL18" s="62"/>
      <c r="AM18" s="60">
        <v>0</v>
      </c>
      <c r="AN18" s="63"/>
      <c r="AO18" s="57">
        <v>0</v>
      </c>
      <c r="AP18" s="62"/>
      <c r="AQ18" s="59">
        <v>0</v>
      </c>
      <c r="AR18" s="62"/>
      <c r="AS18" s="60">
        <v>0</v>
      </c>
      <c r="AT18" s="63"/>
      <c r="AU18" s="57">
        <v>0</v>
      </c>
      <c r="AV18" s="62"/>
      <c r="AW18" s="59">
        <v>0</v>
      </c>
      <c r="AX18" s="62"/>
      <c r="AY18" s="60">
        <v>0</v>
      </c>
      <c r="BA18" s="57">
        <v>0</v>
      </c>
      <c r="BB18" s="62"/>
      <c r="BC18" s="59">
        <v>0</v>
      </c>
      <c r="BD18" s="62"/>
      <c r="BE18" s="60">
        <v>0</v>
      </c>
      <c r="BG18" s="57">
        <v>0</v>
      </c>
      <c r="BH18" s="62"/>
      <c r="BI18" s="59">
        <v>0</v>
      </c>
      <c r="BJ18" s="62"/>
      <c r="BK18" s="60">
        <v>0</v>
      </c>
      <c r="BL18" s="63"/>
      <c r="BN18" s="57">
        <v>0</v>
      </c>
      <c r="BO18" s="62"/>
      <c r="BP18" s="59">
        <v>0</v>
      </c>
      <c r="BQ18" s="62"/>
      <c r="BR18" s="60">
        <v>0</v>
      </c>
      <c r="BS18" s="63"/>
    </row>
    <row r="19" spans="1:71" s="65" customFormat="1">
      <c r="D19" s="66" t="s">
        <v>390</v>
      </c>
      <c r="E19" s="67">
        <v>-12685.24</v>
      </c>
      <c r="F19" s="68"/>
      <c r="G19" s="69">
        <v>-13466.843999999999</v>
      </c>
      <c r="H19" s="68"/>
      <c r="I19" s="70">
        <v>781.60399999999936</v>
      </c>
      <c r="J19" s="71"/>
      <c r="K19" s="67">
        <v>-15628.110999999999</v>
      </c>
      <c r="L19" s="68"/>
      <c r="M19" s="69">
        <v>-16574.217000000001</v>
      </c>
      <c r="N19" s="51"/>
      <c r="O19" s="70">
        <v>946.10600000000159</v>
      </c>
      <c r="P19" s="53"/>
      <c r="Q19" s="67">
        <v>-28360.899000000001</v>
      </c>
      <c r="R19" s="51"/>
      <c r="S19" s="69">
        <v>-30055.004000000001</v>
      </c>
      <c r="T19" s="51"/>
      <c r="U19" s="70">
        <v>1694.1049999999996</v>
      </c>
      <c r="V19" s="25"/>
      <c r="W19" s="67">
        <v>-119.137061911572</v>
      </c>
      <c r="X19" s="51"/>
      <c r="Y19" s="69">
        <v>139.30339487432201</v>
      </c>
      <c r="Z19" s="51"/>
      <c r="AA19" s="70">
        <v>-258.44045678589401</v>
      </c>
      <c r="AB19" s="53"/>
      <c r="AC19" s="67">
        <v>22.98</v>
      </c>
      <c r="AD19" s="51"/>
      <c r="AE19" s="69">
        <v>7.2700000000000102</v>
      </c>
      <c r="AF19" s="51"/>
      <c r="AG19" s="70">
        <v>15.70999999999999</v>
      </c>
      <c r="AH19" s="53"/>
      <c r="AI19" s="67">
        <v>-65.191365549959201</v>
      </c>
      <c r="AJ19" s="51"/>
      <c r="AK19" s="69">
        <v>418.51144289642298</v>
      </c>
      <c r="AL19" s="51"/>
      <c r="AM19" s="70">
        <v>-483.70280844638216</v>
      </c>
      <c r="AN19" s="53"/>
      <c r="AO19" s="67">
        <v>-12821.1653475363</v>
      </c>
      <c r="AP19" s="51"/>
      <c r="AQ19" s="69">
        <v>-9611.8317287342106</v>
      </c>
      <c r="AR19" s="51"/>
      <c r="AS19" s="70">
        <v>-3209.3336188020894</v>
      </c>
      <c r="AT19" s="53"/>
      <c r="AU19" s="67">
        <v>-12982.513774997831</v>
      </c>
      <c r="AV19" s="51"/>
      <c r="AW19" s="69">
        <v>-9046.7468909634663</v>
      </c>
      <c r="AX19" s="51"/>
      <c r="AY19" s="70">
        <v>-3935.7668840343649</v>
      </c>
      <c r="BA19" s="67">
        <v>-15539.733652463701</v>
      </c>
      <c r="BB19" s="51"/>
      <c r="BC19" s="69">
        <v>-20443.17227126579</v>
      </c>
      <c r="BD19" s="51"/>
      <c r="BE19" s="70">
        <v>4903.438618802089</v>
      </c>
      <c r="BG19" s="67">
        <v>-6631.8063653851796</v>
      </c>
      <c r="BH19" s="51"/>
      <c r="BI19" s="69">
        <v>-4370.5836825104498</v>
      </c>
      <c r="BJ19" s="51"/>
      <c r="BK19" s="70">
        <v>-2261.2226828747298</v>
      </c>
      <c r="BL19" s="53"/>
      <c r="BN19" s="67">
        <v>-6189.3589821510996</v>
      </c>
      <c r="BO19" s="51"/>
      <c r="BP19" s="69">
        <v>-5241.24804622376</v>
      </c>
      <c r="BQ19" s="51"/>
      <c r="BR19" s="70">
        <v>-948.1109359273396</v>
      </c>
      <c r="BS19" s="53"/>
    </row>
    <row r="20" spans="1:71" s="65" customFormat="1" hidden="1" outlineLevel="1">
      <c r="A20" s="65" t="s">
        <v>260</v>
      </c>
      <c r="B20" s="65" t="s">
        <v>264</v>
      </c>
      <c r="C20" s="65" t="s">
        <v>262</v>
      </c>
      <c r="D20" s="72" t="s">
        <v>265</v>
      </c>
      <c r="E20" s="67">
        <v>-14399.59</v>
      </c>
      <c r="F20" s="68"/>
      <c r="G20" s="69">
        <v>-14951.9</v>
      </c>
      <c r="H20" s="68"/>
      <c r="I20" s="70">
        <v>552.30999999999949</v>
      </c>
      <c r="J20" s="71"/>
      <c r="K20" s="67">
        <v>-13734.963</v>
      </c>
      <c r="L20" s="68"/>
      <c r="M20" s="69">
        <v>-14506.73</v>
      </c>
      <c r="N20" s="51"/>
      <c r="O20" s="70">
        <v>771.76699999999983</v>
      </c>
      <c r="P20" s="53"/>
      <c r="Q20" s="67">
        <v>-28134.553</v>
      </c>
      <c r="R20" s="51"/>
      <c r="S20" s="69">
        <v>-29458.63</v>
      </c>
      <c r="T20" s="51"/>
      <c r="U20" s="70">
        <v>1324.0770000000011</v>
      </c>
      <c r="V20" s="25"/>
      <c r="W20" s="67"/>
      <c r="X20" s="51"/>
      <c r="Y20" s="69"/>
      <c r="Z20" s="51"/>
      <c r="AA20" s="70"/>
      <c r="AB20" s="53"/>
      <c r="AC20" s="67"/>
      <c r="AD20" s="51"/>
      <c r="AE20" s="69"/>
      <c r="AF20" s="51"/>
      <c r="AG20" s="70"/>
      <c r="AH20" s="53"/>
      <c r="AI20" s="67"/>
      <c r="AJ20" s="51"/>
      <c r="AK20" s="69"/>
      <c r="AL20" s="51"/>
      <c r="AM20" s="70"/>
      <c r="AN20" s="53"/>
      <c r="AO20" s="67"/>
      <c r="AP20" s="51"/>
      <c r="AQ20" s="69"/>
      <c r="AR20" s="51"/>
      <c r="AS20" s="70"/>
      <c r="AT20" s="53"/>
      <c r="AU20" s="67"/>
      <c r="AV20" s="51"/>
      <c r="AW20" s="69"/>
      <c r="AX20" s="51"/>
      <c r="AY20" s="70"/>
      <c r="BA20" s="67"/>
      <c r="BB20" s="51"/>
      <c r="BC20" s="69"/>
      <c r="BD20" s="51"/>
      <c r="BE20" s="70"/>
      <c r="BG20" s="67"/>
      <c r="BH20" s="51"/>
      <c r="BI20" s="69"/>
      <c r="BJ20" s="51"/>
      <c r="BK20" s="70"/>
      <c r="BL20" s="53"/>
      <c r="BN20" s="67"/>
      <c r="BO20" s="51"/>
      <c r="BP20" s="69"/>
      <c r="BQ20" s="51"/>
      <c r="BR20" s="70"/>
      <c r="BS20" s="53"/>
    </row>
    <row r="21" spans="1:71" s="65" customFormat="1" hidden="1" outlineLevel="1">
      <c r="A21" s="65" t="s">
        <v>266</v>
      </c>
      <c r="B21" s="65" t="s">
        <v>267</v>
      </c>
      <c r="C21" s="65" t="s">
        <v>262</v>
      </c>
      <c r="D21" s="72" t="s">
        <v>268</v>
      </c>
      <c r="E21" s="67">
        <v>0</v>
      </c>
      <c r="F21" s="68"/>
      <c r="G21" s="69">
        <v>0</v>
      </c>
      <c r="H21" s="68"/>
      <c r="I21" s="70">
        <v>0</v>
      </c>
      <c r="J21" s="71"/>
      <c r="K21" s="67">
        <v>0</v>
      </c>
      <c r="L21" s="68"/>
      <c r="M21" s="69">
        <v>0</v>
      </c>
      <c r="N21" s="51"/>
      <c r="O21" s="70">
        <v>0</v>
      </c>
      <c r="P21" s="53"/>
      <c r="Q21" s="67">
        <v>0</v>
      </c>
      <c r="R21" s="51"/>
      <c r="S21" s="69">
        <v>0</v>
      </c>
      <c r="T21" s="51"/>
      <c r="U21" s="70">
        <v>0</v>
      </c>
      <c r="V21" s="25"/>
      <c r="W21" s="67"/>
      <c r="X21" s="51"/>
      <c r="Y21" s="69"/>
      <c r="Z21" s="51"/>
      <c r="AA21" s="70"/>
      <c r="AB21" s="53"/>
      <c r="AC21" s="67"/>
      <c r="AD21" s="51"/>
      <c r="AE21" s="69"/>
      <c r="AF21" s="51"/>
      <c r="AG21" s="70"/>
      <c r="AH21" s="53"/>
      <c r="AI21" s="67"/>
      <c r="AJ21" s="51"/>
      <c r="AK21" s="69"/>
      <c r="AL21" s="51"/>
      <c r="AM21" s="70"/>
      <c r="AN21" s="53"/>
      <c r="AO21" s="67"/>
      <c r="AP21" s="51"/>
      <c r="AQ21" s="69"/>
      <c r="AR21" s="51"/>
      <c r="AS21" s="70"/>
      <c r="AT21" s="53"/>
      <c r="AU21" s="67"/>
      <c r="AV21" s="51"/>
      <c r="AW21" s="69"/>
      <c r="AX21" s="51"/>
      <c r="AY21" s="70"/>
      <c r="BA21" s="67"/>
      <c r="BB21" s="51"/>
      <c r="BC21" s="69"/>
      <c r="BD21" s="51"/>
      <c r="BE21" s="70"/>
      <c r="BG21" s="67"/>
      <c r="BH21" s="51"/>
      <c r="BI21" s="69"/>
      <c r="BJ21" s="51"/>
      <c r="BK21" s="70"/>
      <c r="BL21" s="53"/>
      <c r="BN21" s="67"/>
      <c r="BO21" s="51"/>
      <c r="BP21" s="69"/>
      <c r="BQ21" s="51"/>
      <c r="BR21" s="70"/>
      <c r="BS21" s="53"/>
    </row>
    <row r="22" spans="1:71" s="65" customFormat="1" hidden="1" outlineLevel="1">
      <c r="A22" s="65" t="s">
        <v>269</v>
      </c>
      <c r="B22" s="65" t="s">
        <v>267</v>
      </c>
      <c r="C22" s="65" t="s">
        <v>262</v>
      </c>
      <c r="D22" s="72" t="s">
        <v>270</v>
      </c>
      <c r="E22" s="67">
        <v>1714.35</v>
      </c>
      <c r="F22" s="68"/>
      <c r="G22" s="69">
        <v>1485.056</v>
      </c>
      <c r="H22" s="68"/>
      <c r="I22" s="70">
        <v>229.29399999999987</v>
      </c>
      <c r="J22" s="71"/>
      <c r="K22" s="67">
        <v>-1893.1479999999999</v>
      </c>
      <c r="L22" s="68"/>
      <c r="M22" s="69">
        <v>-2067.4870000000001</v>
      </c>
      <c r="N22" s="51"/>
      <c r="O22" s="70">
        <v>174.33900000000017</v>
      </c>
      <c r="P22" s="53"/>
      <c r="Q22" s="67">
        <v>-226.346000000001</v>
      </c>
      <c r="R22" s="51"/>
      <c r="S22" s="69">
        <v>-596.373999999999</v>
      </c>
      <c r="T22" s="51"/>
      <c r="U22" s="70">
        <v>370.02799999999797</v>
      </c>
      <c r="V22" s="25"/>
      <c r="W22" s="67"/>
      <c r="X22" s="51"/>
      <c r="Y22" s="69"/>
      <c r="Z22" s="51"/>
      <c r="AA22" s="70"/>
      <c r="AB22" s="53"/>
      <c r="AC22" s="67"/>
      <c r="AD22" s="51"/>
      <c r="AE22" s="69"/>
      <c r="AF22" s="51"/>
      <c r="AG22" s="70"/>
      <c r="AH22" s="53"/>
      <c r="AI22" s="67"/>
      <c r="AJ22" s="51"/>
      <c r="AK22" s="69"/>
      <c r="AL22" s="51"/>
      <c r="AM22" s="70"/>
      <c r="AN22" s="53"/>
      <c r="AO22" s="67"/>
      <c r="AP22" s="51"/>
      <c r="AQ22" s="69"/>
      <c r="AR22" s="51"/>
      <c r="AS22" s="70"/>
      <c r="AT22" s="53"/>
      <c r="AU22" s="67"/>
      <c r="AV22" s="51"/>
      <c r="AW22" s="69"/>
      <c r="AX22" s="51"/>
      <c r="AY22" s="70"/>
      <c r="BA22" s="67"/>
      <c r="BB22" s="51"/>
      <c r="BC22" s="69"/>
      <c r="BD22" s="51"/>
      <c r="BE22" s="70"/>
      <c r="BG22" s="67"/>
      <c r="BH22" s="51"/>
      <c r="BI22" s="69"/>
      <c r="BJ22" s="51"/>
      <c r="BK22" s="70"/>
      <c r="BL22" s="53"/>
      <c r="BN22" s="67"/>
      <c r="BO22" s="51"/>
      <c r="BP22" s="69"/>
      <c r="BQ22" s="51"/>
      <c r="BR22" s="70"/>
      <c r="BS22" s="53"/>
    </row>
    <row r="23" spans="1:71" s="65" customFormat="1" hidden="1" outlineLevel="1">
      <c r="A23" s="65" t="s">
        <v>271</v>
      </c>
      <c r="B23" s="65" t="s">
        <v>267</v>
      </c>
      <c r="C23" s="65" t="s">
        <v>262</v>
      </c>
      <c r="D23" s="73" t="s">
        <v>272</v>
      </c>
      <c r="E23" s="67">
        <v>2620.14</v>
      </c>
      <c r="F23" s="68"/>
      <c r="G23" s="69">
        <v>2458.4960000000001</v>
      </c>
      <c r="H23" s="68"/>
      <c r="I23" s="70">
        <v>161.64399999999978</v>
      </c>
      <c r="J23" s="71"/>
      <c r="K23" s="67">
        <v>-1440.992</v>
      </c>
      <c r="L23" s="68"/>
      <c r="M23" s="69">
        <v>-1562.6990000000001</v>
      </c>
      <c r="N23" s="51"/>
      <c r="O23" s="70">
        <v>121.70700000000011</v>
      </c>
      <c r="P23" s="53"/>
      <c r="Q23" s="67">
        <v>1121.182</v>
      </c>
      <c r="R23" s="51"/>
      <c r="S23" s="69">
        <v>870.79700000000105</v>
      </c>
      <c r="T23" s="51"/>
      <c r="U23" s="70">
        <v>250.38499999999897</v>
      </c>
      <c r="V23" s="25"/>
      <c r="W23" s="67"/>
      <c r="X23" s="51"/>
      <c r="Y23" s="69"/>
      <c r="Z23" s="51"/>
      <c r="AA23" s="70"/>
      <c r="AB23" s="53"/>
      <c r="AC23" s="67"/>
      <c r="AD23" s="51"/>
      <c r="AE23" s="69"/>
      <c r="AF23" s="51"/>
      <c r="AG23" s="70"/>
      <c r="AH23" s="53"/>
      <c r="AI23" s="67"/>
      <c r="AJ23" s="51"/>
      <c r="AK23" s="69"/>
      <c r="AL23" s="51"/>
      <c r="AM23" s="70"/>
      <c r="AN23" s="53"/>
      <c r="AO23" s="67"/>
      <c r="AP23" s="51"/>
      <c r="AQ23" s="69"/>
      <c r="AR23" s="51"/>
      <c r="AS23" s="70"/>
      <c r="AT23" s="53"/>
      <c r="AU23" s="67"/>
      <c r="AV23" s="51"/>
      <c r="AW23" s="69"/>
      <c r="AX23" s="51"/>
      <c r="AY23" s="70"/>
      <c r="BA23" s="67"/>
      <c r="BB23" s="51"/>
      <c r="BC23" s="69"/>
      <c r="BD23" s="51"/>
      <c r="BE23" s="70"/>
      <c r="BG23" s="67"/>
      <c r="BH23" s="51"/>
      <c r="BI23" s="69"/>
      <c r="BJ23" s="51"/>
      <c r="BK23" s="70"/>
      <c r="BL23" s="53"/>
      <c r="BN23" s="67"/>
      <c r="BO23" s="51"/>
      <c r="BP23" s="69"/>
      <c r="BQ23" s="51"/>
      <c r="BR23" s="70"/>
      <c r="BS23" s="53"/>
    </row>
    <row r="24" spans="1:71" s="65" customFormat="1" hidden="1" outlineLevel="1">
      <c r="A24" s="65" t="s">
        <v>273</v>
      </c>
      <c r="B24" s="65" t="s">
        <v>267</v>
      </c>
      <c r="C24" s="65" t="s">
        <v>262</v>
      </c>
      <c r="D24" s="73" t="s">
        <v>274</v>
      </c>
      <c r="E24" s="67">
        <v>-905.79</v>
      </c>
      <c r="F24" s="68"/>
      <c r="G24" s="69">
        <v>-973.44</v>
      </c>
      <c r="H24" s="68"/>
      <c r="I24" s="70">
        <v>67.650000000000091</v>
      </c>
      <c r="J24" s="71"/>
      <c r="K24" s="67">
        <v>-452.15600000000001</v>
      </c>
      <c r="L24" s="68"/>
      <c r="M24" s="69">
        <v>-504.78800000000001</v>
      </c>
      <c r="N24" s="51"/>
      <c r="O24" s="70">
        <v>52.632000000000005</v>
      </c>
      <c r="P24" s="53"/>
      <c r="Q24" s="67">
        <v>-1347.528</v>
      </c>
      <c r="R24" s="51"/>
      <c r="S24" s="69">
        <v>-1467.171</v>
      </c>
      <c r="T24" s="51"/>
      <c r="U24" s="70">
        <v>119.64300000000003</v>
      </c>
      <c r="V24" s="25"/>
      <c r="W24" s="67"/>
      <c r="X24" s="51"/>
      <c r="Y24" s="69"/>
      <c r="Z24" s="51"/>
      <c r="AA24" s="70"/>
      <c r="AB24" s="53"/>
      <c r="AC24" s="67"/>
      <c r="AD24" s="51"/>
      <c r="AE24" s="69"/>
      <c r="AF24" s="51"/>
      <c r="AG24" s="70"/>
      <c r="AH24" s="53"/>
      <c r="AI24" s="67"/>
      <c r="AJ24" s="51"/>
      <c r="AK24" s="69"/>
      <c r="AL24" s="51"/>
      <c r="AM24" s="70"/>
      <c r="AN24" s="53"/>
      <c r="AO24" s="67"/>
      <c r="AP24" s="51"/>
      <c r="AQ24" s="69"/>
      <c r="AR24" s="51"/>
      <c r="AS24" s="70"/>
      <c r="AT24" s="53"/>
      <c r="AU24" s="67"/>
      <c r="AV24" s="51"/>
      <c r="AW24" s="69"/>
      <c r="AX24" s="51"/>
      <c r="AY24" s="70"/>
      <c r="BA24" s="67"/>
      <c r="BB24" s="51"/>
      <c r="BC24" s="69"/>
      <c r="BD24" s="51"/>
      <c r="BE24" s="70"/>
      <c r="BG24" s="67"/>
      <c r="BH24" s="51"/>
      <c r="BI24" s="69"/>
      <c r="BJ24" s="51"/>
      <c r="BK24" s="70"/>
      <c r="BL24" s="53"/>
      <c r="BN24" s="67"/>
      <c r="BO24" s="51"/>
      <c r="BP24" s="69"/>
      <c r="BQ24" s="51"/>
      <c r="BR24" s="70"/>
      <c r="BS24" s="53"/>
    </row>
    <row r="25" spans="1:71" s="65" customFormat="1" collapsed="1">
      <c r="D25" s="66" t="s">
        <v>275</v>
      </c>
      <c r="E25" s="67">
        <v>272.28485142343345</v>
      </c>
      <c r="F25" s="68"/>
      <c r="G25" s="69">
        <v>493.43999002628738</v>
      </c>
      <c r="H25" s="68"/>
      <c r="I25" s="70">
        <v>-221.15513860285392</v>
      </c>
      <c r="J25" s="71"/>
      <c r="K25" s="67">
        <v>-597.99756583271142</v>
      </c>
      <c r="L25" s="68"/>
      <c r="M25" s="69">
        <v>-640.07294071971637</v>
      </c>
      <c r="N25" s="51"/>
      <c r="O25" s="70">
        <v>42.075374887004955</v>
      </c>
      <c r="P25" s="53"/>
      <c r="Q25" s="67">
        <v>-325.71271440927791</v>
      </c>
      <c r="R25" s="51"/>
      <c r="S25" s="69">
        <v>-146.63295069342894</v>
      </c>
      <c r="T25" s="51"/>
      <c r="U25" s="70">
        <v>-179.07976371584897</v>
      </c>
      <c r="V25" s="25"/>
      <c r="W25" s="67"/>
      <c r="X25" s="51"/>
      <c r="Y25" s="69"/>
      <c r="Z25" s="51"/>
      <c r="AA25" s="70"/>
      <c r="AB25" s="53"/>
      <c r="AC25" s="67"/>
      <c r="AD25" s="51"/>
      <c r="AE25" s="69"/>
      <c r="AF25" s="51"/>
      <c r="AG25" s="70"/>
      <c r="AH25" s="53"/>
      <c r="AI25" s="67"/>
      <c r="AJ25" s="51"/>
      <c r="AK25" s="69"/>
      <c r="AL25" s="51"/>
      <c r="AM25" s="70"/>
      <c r="AN25" s="53"/>
      <c r="AO25" s="67"/>
      <c r="AP25" s="51"/>
      <c r="AQ25" s="69"/>
      <c r="AR25" s="51"/>
      <c r="AS25" s="70"/>
      <c r="AT25" s="53"/>
      <c r="AU25" s="67"/>
      <c r="AV25" s="51"/>
      <c r="AW25" s="69"/>
      <c r="AX25" s="51"/>
      <c r="AY25" s="70"/>
      <c r="BA25" s="67"/>
      <c r="BB25" s="51"/>
      <c r="BC25" s="69"/>
      <c r="BD25" s="51"/>
      <c r="BE25" s="70"/>
      <c r="BG25" s="67"/>
      <c r="BH25" s="51"/>
      <c r="BI25" s="69"/>
      <c r="BJ25" s="51"/>
      <c r="BK25" s="70"/>
      <c r="BL25" s="53"/>
      <c r="BN25" s="67"/>
      <c r="BO25" s="51"/>
      <c r="BP25" s="69"/>
      <c r="BQ25" s="51"/>
      <c r="BR25" s="70"/>
      <c r="BS25" s="53"/>
    </row>
    <row r="26" spans="1:71" s="65" customFormat="1" ht="15.75" hidden="1" customHeight="1" outlineLevel="1">
      <c r="A26" s="65" t="s">
        <v>276</v>
      </c>
      <c r="B26" s="65" t="s">
        <v>277</v>
      </c>
      <c r="C26" s="65" t="s">
        <v>278</v>
      </c>
      <c r="D26" s="72" t="s">
        <v>305</v>
      </c>
      <c r="E26" s="67">
        <v>-88.981999999999999</v>
      </c>
      <c r="F26" s="68"/>
      <c r="G26" s="69">
        <v>-88.772000000000006</v>
      </c>
      <c r="H26" s="68"/>
      <c r="I26" s="70">
        <v>-0.20999999999999375</v>
      </c>
      <c r="J26" s="71"/>
      <c r="K26" s="67">
        <v>-67.412999999999997</v>
      </c>
      <c r="L26" s="68"/>
      <c r="M26" s="69">
        <v>-60.616999999999997</v>
      </c>
      <c r="N26" s="51"/>
      <c r="O26" s="70">
        <v>-6.7959999999999994</v>
      </c>
      <c r="P26" s="53"/>
      <c r="Q26" s="67">
        <v>-156.39500000000001</v>
      </c>
      <c r="R26" s="51"/>
      <c r="S26" s="69">
        <v>-149.38900000000001</v>
      </c>
      <c r="T26" s="51"/>
      <c r="U26" s="70">
        <v>-7.0060000000000002</v>
      </c>
      <c r="V26" s="25"/>
      <c r="W26" s="67">
        <v>0</v>
      </c>
      <c r="X26" s="51"/>
      <c r="Y26" s="69">
        <v>0</v>
      </c>
      <c r="Z26" s="51"/>
      <c r="AA26" s="70">
        <v>0</v>
      </c>
      <c r="AB26" s="53"/>
      <c r="AC26" s="67">
        <v>-1.4379999999999999</v>
      </c>
      <c r="AD26" s="51"/>
      <c r="AE26" s="69">
        <v>-1.5</v>
      </c>
      <c r="AF26" s="51"/>
      <c r="AG26" s="70">
        <v>6.2000000000000055E-2</v>
      </c>
      <c r="AH26" s="53"/>
      <c r="AI26" s="67">
        <v>0</v>
      </c>
      <c r="AJ26" s="51"/>
      <c r="AK26" s="69">
        <v>0</v>
      </c>
      <c r="AL26" s="51"/>
      <c r="AM26" s="70">
        <v>0</v>
      </c>
      <c r="AN26" s="53"/>
      <c r="AO26" s="67">
        <v>0</v>
      </c>
      <c r="AP26" s="51"/>
      <c r="AQ26" s="69">
        <v>0</v>
      </c>
      <c r="AR26" s="51"/>
      <c r="AS26" s="70">
        <v>0</v>
      </c>
      <c r="AT26" s="53"/>
      <c r="AU26" s="67">
        <v>-1.4379999999999999</v>
      </c>
      <c r="AV26" s="51"/>
      <c r="AW26" s="69">
        <v>-1.5</v>
      </c>
      <c r="AX26" s="51"/>
      <c r="AY26" s="70">
        <v>6.2000000000000055E-2</v>
      </c>
      <c r="BA26" s="67">
        <v>-156.39500000000001</v>
      </c>
      <c r="BB26" s="51"/>
      <c r="BC26" s="69">
        <v>-149.38900000000001</v>
      </c>
      <c r="BD26" s="51"/>
      <c r="BE26" s="70">
        <v>-7.0060000000000002</v>
      </c>
      <c r="BG26" s="67">
        <v>0</v>
      </c>
      <c r="BH26" s="51"/>
      <c r="BI26" s="69">
        <v>0</v>
      </c>
      <c r="BJ26" s="51"/>
      <c r="BK26" s="70">
        <v>0</v>
      </c>
      <c r="BL26" s="53"/>
      <c r="BN26" s="67">
        <v>0</v>
      </c>
      <c r="BO26" s="51"/>
      <c r="BP26" s="69">
        <v>0</v>
      </c>
      <c r="BQ26" s="51"/>
      <c r="BR26" s="70">
        <v>0</v>
      </c>
      <c r="BS26" s="53"/>
    </row>
    <row r="27" spans="1:71" s="65" customFormat="1" ht="14.25" hidden="1" customHeight="1" outlineLevel="1">
      <c r="A27" s="65" t="s">
        <v>279</v>
      </c>
      <c r="B27" s="65" t="s">
        <v>280</v>
      </c>
      <c r="C27" s="65" t="s">
        <v>281</v>
      </c>
      <c r="D27" s="74" t="s">
        <v>391</v>
      </c>
      <c r="E27" s="67">
        <v>24.797999999999998</v>
      </c>
      <c r="F27" s="68"/>
      <c r="G27" s="69">
        <v>28.693000000000001</v>
      </c>
      <c r="H27" s="68"/>
      <c r="I27" s="70">
        <v>-3.8950000000000031</v>
      </c>
      <c r="J27" s="71"/>
      <c r="K27" s="67">
        <v>-10.801</v>
      </c>
      <c r="L27" s="68"/>
      <c r="M27" s="69">
        <v>-14.025</v>
      </c>
      <c r="N27" s="51"/>
      <c r="O27" s="70">
        <v>3.2240000000000002</v>
      </c>
      <c r="P27" s="53"/>
      <c r="Q27" s="67">
        <v>13.997</v>
      </c>
      <c r="R27" s="51"/>
      <c r="S27" s="69">
        <v>14.667999999999999</v>
      </c>
      <c r="T27" s="51"/>
      <c r="U27" s="70">
        <v>-0.67099999999999937</v>
      </c>
      <c r="V27" s="25"/>
      <c r="W27" s="67">
        <v>0</v>
      </c>
      <c r="X27" s="51"/>
      <c r="Y27" s="69">
        <v>0</v>
      </c>
      <c r="Z27" s="51"/>
      <c r="AA27" s="70">
        <v>0</v>
      </c>
      <c r="AB27" s="53"/>
      <c r="AC27" s="67">
        <v>4.75</v>
      </c>
      <c r="AD27" s="51"/>
      <c r="AE27" s="69">
        <v>-6.67</v>
      </c>
      <c r="AF27" s="51"/>
      <c r="AG27" s="70">
        <v>11.42</v>
      </c>
      <c r="AH27" s="53"/>
      <c r="AI27" s="67">
        <v>0</v>
      </c>
      <c r="AJ27" s="51"/>
      <c r="AK27" s="69">
        <v>0</v>
      </c>
      <c r="AL27" s="51"/>
      <c r="AM27" s="70">
        <v>0</v>
      </c>
      <c r="AN27" s="53"/>
      <c r="AO27" s="67">
        <v>0</v>
      </c>
      <c r="AP27" s="51"/>
      <c r="AQ27" s="69">
        <v>0</v>
      </c>
      <c r="AR27" s="51"/>
      <c r="AS27" s="70">
        <v>0</v>
      </c>
      <c r="AT27" s="53"/>
      <c r="AU27" s="67">
        <v>4.75</v>
      </c>
      <c r="AV27" s="51"/>
      <c r="AW27" s="69">
        <v>-6.67</v>
      </c>
      <c r="AX27" s="51"/>
      <c r="AY27" s="70">
        <v>11.42</v>
      </c>
      <c r="BA27" s="67">
        <v>13.997</v>
      </c>
      <c r="BB27" s="51"/>
      <c r="BC27" s="69">
        <v>14.667999999999999</v>
      </c>
      <c r="BD27" s="51"/>
      <c r="BE27" s="70">
        <v>-0.67099999999999937</v>
      </c>
      <c r="BG27" s="67">
        <v>0</v>
      </c>
      <c r="BH27" s="51"/>
      <c r="BI27" s="69">
        <v>0</v>
      </c>
      <c r="BJ27" s="51"/>
      <c r="BK27" s="70">
        <v>0</v>
      </c>
      <c r="BL27" s="53"/>
      <c r="BN27" s="67">
        <v>0</v>
      </c>
      <c r="BO27" s="51"/>
      <c r="BP27" s="69">
        <v>0</v>
      </c>
      <c r="BQ27" s="51"/>
      <c r="BR27" s="70">
        <v>0</v>
      </c>
      <c r="BS27" s="53"/>
    </row>
    <row r="28" spans="1:71" s="65" customFormat="1" hidden="1" outlineLevel="1">
      <c r="A28" s="65" t="s">
        <v>276</v>
      </c>
      <c r="B28" s="65" t="s">
        <v>282</v>
      </c>
      <c r="C28" s="65" t="s">
        <v>283</v>
      </c>
      <c r="D28" s="74" t="s">
        <v>392</v>
      </c>
      <c r="E28" s="67">
        <v>-93.515000000000001</v>
      </c>
      <c r="F28" s="68"/>
      <c r="G28" s="69">
        <v>-85.635999999999996</v>
      </c>
      <c r="H28" s="68"/>
      <c r="I28" s="70">
        <v>-7.8790000000000049</v>
      </c>
      <c r="J28" s="71"/>
      <c r="K28" s="67">
        <v>-148.52500000000001</v>
      </c>
      <c r="L28" s="68"/>
      <c r="M28" s="69">
        <v>-154.47999999999999</v>
      </c>
      <c r="N28" s="51"/>
      <c r="O28" s="70">
        <v>5.9549999999999841</v>
      </c>
      <c r="P28" s="53"/>
      <c r="Q28" s="67">
        <v>-242.04</v>
      </c>
      <c r="R28" s="51"/>
      <c r="S28" s="69">
        <v>-240.11600000000001</v>
      </c>
      <c r="T28" s="51"/>
      <c r="U28" s="70">
        <v>-1.9239999999999782</v>
      </c>
      <c r="V28" s="25"/>
      <c r="W28" s="67">
        <v>0</v>
      </c>
      <c r="X28" s="51"/>
      <c r="Y28" s="69">
        <v>0</v>
      </c>
      <c r="Z28" s="51"/>
      <c r="AA28" s="70">
        <v>0</v>
      </c>
      <c r="AB28" s="53"/>
      <c r="AC28" s="67">
        <v>-26.861999999999998</v>
      </c>
      <c r="AD28" s="51"/>
      <c r="AE28" s="69">
        <v>-26.003</v>
      </c>
      <c r="AF28" s="51"/>
      <c r="AG28" s="70">
        <v>-0.85899999999999821</v>
      </c>
      <c r="AH28" s="53"/>
      <c r="AI28" s="67">
        <v>0</v>
      </c>
      <c r="AJ28" s="51"/>
      <c r="AK28" s="69">
        <v>0</v>
      </c>
      <c r="AL28" s="51"/>
      <c r="AM28" s="70">
        <v>0</v>
      </c>
      <c r="AN28" s="53"/>
      <c r="AO28" s="67">
        <v>-0.24399999999999999</v>
      </c>
      <c r="AP28" s="51"/>
      <c r="AQ28" s="69">
        <v>-0.18</v>
      </c>
      <c r="AR28" s="51"/>
      <c r="AS28" s="70">
        <v>-6.4000000000000001E-2</v>
      </c>
      <c r="AT28" s="53"/>
      <c r="AU28" s="67">
        <v>-27.105999999999998</v>
      </c>
      <c r="AV28" s="51"/>
      <c r="AW28" s="69">
        <v>-26.183</v>
      </c>
      <c r="AX28" s="51"/>
      <c r="AY28" s="70">
        <v>-0.92299999999999827</v>
      </c>
      <c r="BA28" s="67">
        <v>-241.79599999999999</v>
      </c>
      <c r="BB28" s="51"/>
      <c r="BC28" s="69">
        <v>-239.93600000000001</v>
      </c>
      <c r="BD28" s="51"/>
      <c r="BE28" s="70">
        <v>-1.8599999999999852</v>
      </c>
      <c r="BG28" s="67">
        <v>-0.24399999999999999</v>
      </c>
      <c r="BH28" s="51"/>
      <c r="BI28" s="69">
        <v>-0.18</v>
      </c>
      <c r="BJ28" s="51"/>
      <c r="BK28" s="70">
        <v>-6.4000000000000001E-2</v>
      </c>
      <c r="BL28" s="53"/>
      <c r="BN28" s="67">
        <v>0</v>
      </c>
      <c r="BO28" s="51"/>
      <c r="BP28" s="69">
        <v>0</v>
      </c>
      <c r="BQ28" s="51"/>
      <c r="BR28" s="70">
        <v>0</v>
      </c>
      <c r="BS28" s="53"/>
    </row>
    <row r="29" spans="1:71" s="65" customFormat="1" hidden="1" outlineLevel="1">
      <c r="A29" s="65" t="s">
        <v>276</v>
      </c>
      <c r="B29" s="65" t="s">
        <v>284</v>
      </c>
      <c r="C29" s="65" t="s">
        <v>285</v>
      </c>
      <c r="D29" s="74" t="s">
        <v>393</v>
      </c>
      <c r="E29" s="67">
        <v>321</v>
      </c>
      <c r="F29" s="68"/>
      <c r="G29" s="69">
        <v>200.18299999999999</v>
      </c>
      <c r="H29" s="68"/>
      <c r="I29" s="70">
        <v>120.81700000000001</v>
      </c>
      <c r="J29" s="71"/>
      <c r="K29" s="67">
        <v>-182.3</v>
      </c>
      <c r="L29" s="68"/>
      <c r="M29" s="69">
        <v>-231.55600000000001</v>
      </c>
      <c r="N29" s="51"/>
      <c r="O29" s="70">
        <v>49.256</v>
      </c>
      <c r="P29" s="53"/>
      <c r="Q29" s="67">
        <v>138.69999999999999</v>
      </c>
      <c r="R29" s="51"/>
      <c r="S29" s="69">
        <v>-31.373000000000001</v>
      </c>
      <c r="T29" s="51"/>
      <c r="U29" s="70">
        <v>170.07299999999998</v>
      </c>
      <c r="V29" s="25"/>
      <c r="W29" s="67">
        <v>0</v>
      </c>
      <c r="X29" s="51"/>
      <c r="Y29" s="69">
        <v>0</v>
      </c>
      <c r="Z29" s="51"/>
      <c r="AA29" s="70">
        <v>0</v>
      </c>
      <c r="AB29" s="53"/>
      <c r="AC29" s="67">
        <v>-24.25</v>
      </c>
      <c r="AD29" s="51"/>
      <c r="AE29" s="69">
        <v>-24.332999999999998</v>
      </c>
      <c r="AF29" s="51"/>
      <c r="AG29" s="70">
        <v>8.2999999999998408E-2</v>
      </c>
      <c r="AH29" s="53"/>
      <c r="AI29" s="67">
        <v>0</v>
      </c>
      <c r="AJ29" s="51"/>
      <c r="AK29" s="69">
        <v>0</v>
      </c>
      <c r="AL29" s="51"/>
      <c r="AM29" s="70">
        <v>0</v>
      </c>
      <c r="AN29" s="53"/>
      <c r="AO29" s="67">
        <v>-8.1</v>
      </c>
      <c r="AP29" s="51"/>
      <c r="AQ29" s="69">
        <v>-8.6920000000000002</v>
      </c>
      <c r="AR29" s="51"/>
      <c r="AS29" s="70">
        <v>0.59200000000000053</v>
      </c>
      <c r="AT29" s="53"/>
      <c r="AU29" s="67">
        <v>-32.35</v>
      </c>
      <c r="AV29" s="51"/>
      <c r="AW29" s="69">
        <v>-33.024999999999999</v>
      </c>
      <c r="AX29" s="51"/>
      <c r="AY29" s="70">
        <v>0.67499999999999716</v>
      </c>
      <c r="BA29" s="67">
        <v>146.79999999999998</v>
      </c>
      <c r="BB29" s="51"/>
      <c r="BC29" s="69">
        <v>-22.681000000000001</v>
      </c>
      <c r="BD29" s="51"/>
      <c r="BE29" s="70">
        <v>169.48099999999999</v>
      </c>
      <c r="BG29" s="67">
        <v>0</v>
      </c>
      <c r="BH29" s="51"/>
      <c r="BI29" s="69">
        <v>-8.6920000000000002</v>
      </c>
      <c r="BJ29" s="51"/>
      <c r="BK29" s="70">
        <v>8.6920000000000002</v>
      </c>
      <c r="BL29" s="53"/>
      <c r="BN29" s="67">
        <v>-8.1</v>
      </c>
      <c r="BO29" s="51"/>
      <c r="BP29" s="69">
        <v>0</v>
      </c>
      <c r="BQ29" s="51"/>
      <c r="BR29" s="70">
        <v>-8.1</v>
      </c>
      <c r="BS29" s="53"/>
    </row>
    <row r="30" spans="1:71" s="65" customFormat="1" hidden="1" outlineLevel="1">
      <c r="A30" s="65" t="s">
        <v>260</v>
      </c>
      <c r="B30" s="65" t="s">
        <v>286</v>
      </c>
      <c r="C30" s="65" t="s">
        <v>103</v>
      </c>
      <c r="D30" s="74" t="s">
        <v>394</v>
      </c>
      <c r="E30" s="67">
        <v>12.6338514234335</v>
      </c>
      <c r="F30" s="68"/>
      <c r="G30" s="69">
        <v>12.5719900262874</v>
      </c>
      <c r="H30" s="68"/>
      <c r="I30" s="70">
        <v>6.1861397146099506E-2</v>
      </c>
      <c r="J30" s="71"/>
      <c r="K30" s="67">
        <v>-80.248565832711407</v>
      </c>
      <c r="L30" s="68"/>
      <c r="M30" s="69">
        <v>-67.784940719716403</v>
      </c>
      <c r="N30" s="51"/>
      <c r="O30" s="70">
        <v>-12.463625112995004</v>
      </c>
      <c r="P30" s="53"/>
      <c r="Q30" s="67">
        <v>-67.614714409277894</v>
      </c>
      <c r="R30" s="51"/>
      <c r="S30" s="69">
        <v>-55.212950693429001</v>
      </c>
      <c r="T30" s="51"/>
      <c r="U30" s="70">
        <v>-12.401763715848894</v>
      </c>
      <c r="V30" s="25"/>
      <c r="W30" s="67">
        <v>0</v>
      </c>
      <c r="X30" s="51"/>
      <c r="Y30" s="69">
        <v>0</v>
      </c>
      <c r="Z30" s="51"/>
      <c r="AA30" s="70">
        <v>0</v>
      </c>
      <c r="AB30" s="53"/>
      <c r="AC30" s="67">
        <v>0</v>
      </c>
      <c r="AD30" s="51"/>
      <c r="AE30" s="69">
        <v>0</v>
      </c>
      <c r="AF30" s="51"/>
      <c r="AG30" s="70">
        <v>0</v>
      </c>
      <c r="AH30" s="53"/>
      <c r="AI30" s="67">
        <v>0</v>
      </c>
      <c r="AJ30" s="51"/>
      <c r="AK30" s="69">
        <v>0</v>
      </c>
      <c r="AL30" s="51"/>
      <c r="AM30" s="70">
        <v>0</v>
      </c>
      <c r="AN30" s="53"/>
      <c r="AO30" s="67">
        <v>-1.47414127821284</v>
      </c>
      <c r="AP30" s="51"/>
      <c r="AQ30" s="69">
        <v>-1.4878777187073999</v>
      </c>
      <c r="AR30" s="51"/>
      <c r="AS30" s="70">
        <v>1.3736440494559909E-2</v>
      </c>
      <c r="AT30" s="53"/>
      <c r="AU30" s="67">
        <v>-1.47414127821284</v>
      </c>
      <c r="AV30" s="51"/>
      <c r="AW30" s="69">
        <v>-1.4878777187073999</v>
      </c>
      <c r="AX30" s="51"/>
      <c r="AY30" s="70">
        <v>1.3736440494559909E-2</v>
      </c>
      <c r="BA30" s="67">
        <v>-66.140573131065054</v>
      </c>
      <c r="BB30" s="51"/>
      <c r="BC30" s="69">
        <v>-53.725072974721598</v>
      </c>
      <c r="BD30" s="51"/>
      <c r="BE30" s="70">
        <v>-12.415500156343455</v>
      </c>
      <c r="BG30" s="67">
        <v>-1.47414127821284</v>
      </c>
      <c r="BH30" s="51"/>
      <c r="BI30" s="69">
        <v>-1.4878777187073999</v>
      </c>
      <c r="BJ30" s="51"/>
      <c r="BK30" s="70">
        <v>1.3736440494559909E-2</v>
      </c>
      <c r="BL30" s="53"/>
      <c r="BN30" s="67">
        <v>0</v>
      </c>
      <c r="BO30" s="51"/>
      <c r="BP30" s="69">
        <v>0</v>
      </c>
      <c r="BQ30" s="51"/>
      <c r="BR30" s="70">
        <v>0</v>
      </c>
      <c r="BS30" s="53"/>
    </row>
    <row r="31" spans="1:71" s="75" customFormat="1" ht="14.4" hidden="1" outlineLevel="2">
      <c r="A31" s="75" t="s">
        <v>260</v>
      </c>
      <c r="B31" s="75" t="s">
        <v>286</v>
      </c>
      <c r="C31" s="75" t="s">
        <v>287</v>
      </c>
      <c r="D31" s="76" t="s">
        <v>288</v>
      </c>
      <c r="E31" s="77">
        <v>10.97</v>
      </c>
      <c r="F31" s="78"/>
      <c r="G31" s="79">
        <v>10.9</v>
      </c>
      <c r="H31" s="78"/>
      <c r="I31" s="80">
        <v>7.0000000000000284E-2</v>
      </c>
      <c r="J31" s="81"/>
      <c r="K31" s="77">
        <v>-69.680000000000007</v>
      </c>
      <c r="L31" s="78"/>
      <c r="M31" s="79">
        <v>-58.77</v>
      </c>
      <c r="N31" s="82"/>
      <c r="O31" s="80">
        <v>-10.910000000000004</v>
      </c>
      <c r="P31" s="83"/>
      <c r="Q31" s="77">
        <v>-58.71</v>
      </c>
      <c r="R31" s="82"/>
      <c r="S31" s="79">
        <v>-47.87</v>
      </c>
      <c r="T31" s="82"/>
      <c r="U31" s="80">
        <v>-10.840000000000003</v>
      </c>
      <c r="V31" s="25"/>
      <c r="W31" s="77">
        <v>0</v>
      </c>
      <c r="X31" s="82"/>
      <c r="Y31" s="79">
        <v>0</v>
      </c>
      <c r="Z31" s="82"/>
      <c r="AA31" s="80">
        <v>0</v>
      </c>
      <c r="AB31" s="83"/>
      <c r="AC31" s="77">
        <v>0</v>
      </c>
      <c r="AD31" s="82"/>
      <c r="AE31" s="79">
        <v>0</v>
      </c>
      <c r="AF31" s="82"/>
      <c r="AG31" s="80">
        <v>0</v>
      </c>
      <c r="AH31" s="83"/>
      <c r="AI31" s="77">
        <v>0</v>
      </c>
      <c r="AJ31" s="82"/>
      <c r="AK31" s="79">
        <v>0</v>
      </c>
      <c r="AL31" s="82"/>
      <c r="AM31" s="80">
        <v>0</v>
      </c>
      <c r="AN31" s="83"/>
      <c r="AO31" s="77">
        <v>-1.28</v>
      </c>
      <c r="AP31" s="82"/>
      <c r="AQ31" s="79">
        <v>-1.29</v>
      </c>
      <c r="AR31" s="82"/>
      <c r="AS31" s="80">
        <v>1.0000000000000009E-2</v>
      </c>
      <c r="AT31" s="83"/>
      <c r="AU31" s="77">
        <v>-1.28</v>
      </c>
      <c r="AV31" s="82"/>
      <c r="AW31" s="79">
        <v>-1.29</v>
      </c>
      <c r="AX31" s="82"/>
      <c r="AY31" s="80">
        <v>1.0000000000000009E-2</v>
      </c>
      <c r="BA31" s="77">
        <v>-57.43</v>
      </c>
      <c r="BB31" s="82"/>
      <c r="BC31" s="79">
        <v>-46.58</v>
      </c>
      <c r="BD31" s="82"/>
      <c r="BE31" s="80">
        <v>-10.850000000000001</v>
      </c>
      <c r="BG31" s="77">
        <v>-1.28</v>
      </c>
      <c r="BH31" s="82"/>
      <c r="BI31" s="79">
        <v>-1.29</v>
      </c>
      <c r="BJ31" s="82"/>
      <c r="BK31" s="80">
        <v>1.0000000000000009E-2</v>
      </c>
      <c r="BL31" s="83"/>
      <c r="BN31" s="77">
        <v>0</v>
      </c>
      <c r="BO31" s="82"/>
      <c r="BP31" s="79">
        <v>0</v>
      </c>
      <c r="BQ31" s="82"/>
      <c r="BR31" s="80">
        <v>0</v>
      </c>
      <c r="BS31" s="83"/>
    </row>
    <row r="32" spans="1:71" s="65" customFormat="1" hidden="1" outlineLevel="2" collapsed="1">
      <c r="A32" s="65" t="s">
        <v>276</v>
      </c>
      <c r="B32" s="65" t="s">
        <v>289</v>
      </c>
      <c r="C32" s="65" t="s">
        <v>290</v>
      </c>
      <c r="D32" s="74" t="s">
        <v>395</v>
      </c>
      <c r="E32" s="67">
        <v>0</v>
      </c>
      <c r="F32" s="68"/>
      <c r="G32" s="69">
        <v>0</v>
      </c>
      <c r="H32" s="68"/>
      <c r="I32" s="70">
        <v>0</v>
      </c>
      <c r="J32" s="71"/>
      <c r="K32" s="67">
        <v>0</v>
      </c>
      <c r="L32" s="68"/>
      <c r="M32" s="69">
        <v>0</v>
      </c>
      <c r="N32" s="51"/>
      <c r="O32" s="70">
        <v>0</v>
      </c>
      <c r="P32" s="53"/>
      <c r="Q32" s="67">
        <v>0</v>
      </c>
      <c r="R32" s="51"/>
      <c r="S32" s="69">
        <v>0</v>
      </c>
      <c r="T32" s="51"/>
      <c r="U32" s="70">
        <v>0</v>
      </c>
      <c r="V32" s="25"/>
      <c r="W32" s="67">
        <v>0</v>
      </c>
      <c r="X32" s="51"/>
      <c r="Y32" s="69">
        <v>0</v>
      </c>
      <c r="Z32" s="51"/>
      <c r="AA32" s="70">
        <v>0</v>
      </c>
      <c r="AB32" s="53"/>
      <c r="AC32" s="67">
        <v>0</v>
      </c>
      <c r="AD32" s="51"/>
      <c r="AE32" s="69">
        <v>0</v>
      </c>
      <c r="AF32" s="51"/>
      <c r="AG32" s="70">
        <v>0</v>
      </c>
      <c r="AH32" s="53"/>
      <c r="AI32" s="67">
        <v>0</v>
      </c>
      <c r="AJ32" s="51"/>
      <c r="AK32" s="69">
        <v>0</v>
      </c>
      <c r="AL32" s="51"/>
      <c r="AM32" s="70">
        <v>0</v>
      </c>
      <c r="AN32" s="53"/>
      <c r="AO32" s="67">
        <v>0</v>
      </c>
      <c r="AP32" s="51"/>
      <c r="AQ32" s="69">
        <v>0</v>
      </c>
      <c r="AR32" s="51"/>
      <c r="AS32" s="70">
        <v>0</v>
      </c>
      <c r="AT32" s="53"/>
      <c r="AU32" s="67">
        <v>0</v>
      </c>
      <c r="AV32" s="51"/>
      <c r="AW32" s="69">
        <v>0</v>
      </c>
      <c r="AX32" s="51"/>
      <c r="AY32" s="70">
        <v>0</v>
      </c>
      <c r="BA32" s="67">
        <v>0</v>
      </c>
      <c r="BB32" s="51"/>
      <c r="BC32" s="69">
        <v>0</v>
      </c>
      <c r="BD32" s="51"/>
      <c r="BE32" s="70">
        <v>0</v>
      </c>
      <c r="BG32" s="67">
        <v>0</v>
      </c>
      <c r="BH32" s="51"/>
      <c r="BI32" s="69">
        <v>0</v>
      </c>
      <c r="BJ32" s="51"/>
      <c r="BK32" s="70">
        <v>0</v>
      </c>
      <c r="BL32" s="53"/>
      <c r="BN32" s="67">
        <v>0</v>
      </c>
      <c r="BO32" s="51"/>
      <c r="BP32" s="69">
        <v>0</v>
      </c>
      <c r="BQ32" s="51"/>
      <c r="BR32" s="70">
        <v>0</v>
      </c>
      <c r="BS32" s="53"/>
    </row>
    <row r="33" spans="1:71" s="65" customFormat="1" hidden="1" outlineLevel="1">
      <c r="A33" s="84" t="s">
        <v>291</v>
      </c>
      <c r="B33" s="85" t="s">
        <v>292</v>
      </c>
      <c r="C33" s="85" t="s">
        <v>262</v>
      </c>
      <c r="D33" s="74" t="s">
        <v>396</v>
      </c>
      <c r="E33" s="67">
        <v>96.35</v>
      </c>
      <c r="F33" s="68"/>
      <c r="G33" s="69">
        <v>426.4</v>
      </c>
      <c r="H33" s="68"/>
      <c r="I33" s="70">
        <v>-330.04999999999995</v>
      </c>
      <c r="J33" s="71"/>
      <c r="K33" s="67">
        <v>-108.71</v>
      </c>
      <c r="L33" s="68"/>
      <c r="M33" s="69">
        <v>-111.61</v>
      </c>
      <c r="N33" s="51"/>
      <c r="O33" s="70">
        <v>2.9000000000000057</v>
      </c>
      <c r="P33" s="53"/>
      <c r="Q33" s="67">
        <v>-12.36</v>
      </c>
      <c r="R33" s="51"/>
      <c r="S33" s="69">
        <v>314.79000000000002</v>
      </c>
      <c r="T33" s="51"/>
      <c r="U33" s="70">
        <v>-327.15000000000003</v>
      </c>
      <c r="V33" s="25"/>
      <c r="W33" s="67">
        <v>0</v>
      </c>
      <c r="X33" s="51"/>
      <c r="Y33" s="69">
        <v>0</v>
      </c>
      <c r="Z33" s="51"/>
      <c r="AA33" s="70">
        <v>0</v>
      </c>
      <c r="AB33" s="53"/>
      <c r="AC33" s="67">
        <v>70.78</v>
      </c>
      <c r="AD33" s="51"/>
      <c r="AE33" s="69">
        <v>67.77</v>
      </c>
      <c r="AF33" s="51"/>
      <c r="AG33" s="70">
        <v>3.0100000000000051</v>
      </c>
      <c r="AH33" s="53"/>
      <c r="AI33" s="67">
        <v>0</v>
      </c>
      <c r="AJ33" s="51"/>
      <c r="AK33" s="69">
        <v>0</v>
      </c>
      <c r="AL33" s="51"/>
      <c r="AM33" s="70">
        <v>0</v>
      </c>
      <c r="AN33" s="53"/>
      <c r="AO33" s="67">
        <v>0</v>
      </c>
      <c r="AP33" s="51"/>
      <c r="AQ33" s="69">
        <v>0</v>
      </c>
      <c r="AR33" s="51"/>
      <c r="AS33" s="70">
        <v>0</v>
      </c>
      <c r="AT33" s="53"/>
      <c r="AU33" s="67">
        <v>70.78</v>
      </c>
      <c r="AV33" s="51"/>
      <c r="AW33" s="69">
        <v>67.77</v>
      </c>
      <c r="AX33" s="51"/>
      <c r="AY33" s="70">
        <v>3.0100000000000051</v>
      </c>
      <c r="BA33" s="67">
        <v>-12.36</v>
      </c>
      <c r="BB33" s="51"/>
      <c r="BC33" s="69">
        <v>314.79000000000002</v>
      </c>
      <c r="BD33" s="51"/>
      <c r="BE33" s="70">
        <v>-327.15000000000003</v>
      </c>
      <c r="BG33" s="67">
        <v>0</v>
      </c>
      <c r="BH33" s="51"/>
      <c r="BI33" s="69">
        <v>0</v>
      </c>
      <c r="BJ33" s="51"/>
      <c r="BK33" s="70">
        <v>0</v>
      </c>
      <c r="BL33" s="53"/>
      <c r="BN33" s="67">
        <v>0</v>
      </c>
      <c r="BO33" s="51"/>
      <c r="BP33" s="69">
        <v>0</v>
      </c>
      <c r="BQ33" s="51"/>
      <c r="BR33" s="70">
        <v>0</v>
      </c>
      <c r="BS33" s="53"/>
    </row>
    <row r="34" spans="1:71" s="44" customFormat="1" hidden="1" outlineLevel="1">
      <c r="B34" s="65"/>
      <c r="C34" s="65"/>
      <c r="D34" s="86" t="s">
        <v>54</v>
      </c>
      <c r="E34" s="87">
        <v>-9.9999999940792025E-4</v>
      </c>
      <c r="F34" s="47"/>
      <c r="G34" s="88">
        <v>-27.053000000000001</v>
      </c>
      <c r="H34" s="47"/>
      <c r="I34" s="89">
        <v>27.052000000000593</v>
      </c>
      <c r="K34" s="87">
        <v>-1.1840000000000166</v>
      </c>
      <c r="L34" s="47"/>
      <c r="M34" s="88">
        <v>-0.27099999999999003</v>
      </c>
      <c r="N34" s="51"/>
      <c r="O34" s="52">
        <v>-0.91300000000002657</v>
      </c>
      <c r="P34" s="53"/>
      <c r="Q34" s="87">
        <v>-1.1850000000001206</v>
      </c>
      <c r="R34" s="47"/>
      <c r="S34" s="88">
        <v>-27.323999999999991</v>
      </c>
      <c r="T34" s="51"/>
      <c r="U34" s="89">
        <v>26.138999999999871</v>
      </c>
      <c r="V34" s="25"/>
      <c r="W34" s="87">
        <v>0</v>
      </c>
      <c r="X34" s="47"/>
      <c r="Y34" s="88">
        <v>0</v>
      </c>
      <c r="Z34" s="51"/>
      <c r="AA34" s="89">
        <v>0</v>
      </c>
      <c r="AB34" s="53"/>
      <c r="AC34" s="87">
        <v>0</v>
      </c>
      <c r="AD34" s="47"/>
      <c r="AE34" s="88">
        <v>0</v>
      </c>
      <c r="AF34" s="51"/>
      <c r="AG34" s="89">
        <v>0</v>
      </c>
      <c r="AH34" s="53"/>
      <c r="AI34" s="87">
        <v>0</v>
      </c>
      <c r="AJ34" s="47"/>
      <c r="AK34" s="88">
        <v>0</v>
      </c>
      <c r="AL34" s="51"/>
      <c r="AM34" s="89">
        <v>0</v>
      </c>
      <c r="AN34" s="53"/>
      <c r="AO34" s="87">
        <v>0</v>
      </c>
      <c r="AP34" s="47"/>
      <c r="AQ34" s="88">
        <v>0</v>
      </c>
      <c r="AR34" s="51"/>
      <c r="AS34" s="89">
        <v>0</v>
      </c>
      <c r="AT34" s="53"/>
      <c r="AU34" s="87">
        <v>0</v>
      </c>
      <c r="AV34" s="47"/>
      <c r="AW34" s="88">
        <v>0</v>
      </c>
      <c r="AX34" s="51"/>
      <c r="AY34" s="89">
        <v>0</v>
      </c>
      <c r="BA34" s="87">
        <v>-1.1850000000001206</v>
      </c>
      <c r="BB34" s="47"/>
      <c r="BC34" s="88">
        <v>-27.323999999999991</v>
      </c>
      <c r="BD34" s="51"/>
      <c r="BE34" s="89">
        <v>26.138999999999871</v>
      </c>
      <c r="BG34" s="87">
        <v>0</v>
      </c>
      <c r="BH34" s="47"/>
      <c r="BI34" s="88">
        <v>0</v>
      </c>
      <c r="BJ34" s="51"/>
      <c r="BK34" s="89">
        <v>0</v>
      </c>
      <c r="BL34" s="53"/>
      <c r="BN34" s="87">
        <v>0</v>
      </c>
      <c r="BO34" s="47"/>
      <c r="BP34" s="88">
        <v>0</v>
      </c>
      <c r="BQ34" s="51"/>
      <c r="BR34" s="89">
        <v>0</v>
      </c>
      <c r="BS34" s="53"/>
    </row>
    <row r="35" spans="1:71" s="64" customFormat="1" ht="15" hidden="1" customHeight="1" collapsed="1">
      <c r="A35" s="54" t="s">
        <v>293</v>
      </c>
      <c r="B35" s="55" t="s">
        <v>261</v>
      </c>
      <c r="C35" s="55" t="s">
        <v>294</v>
      </c>
      <c r="D35" s="56" t="s">
        <v>263</v>
      </c>
      <c r="E35" s="57">
        <v>0</v>
      </c>
      <c r="F35" s="58"/>
      <c r="G35" s="59">
        <v>0</v>
      </c>
      <c r="H35" s="58"/>
      <c r="I35" s="90">
        <v>0</v>
      </c>
      <c r="J35" s="91"/>
      <c r="K35" s="57">
        <v>0</v>
      </c>
      <c r="L35" s="58"/>
      <c r="M35" s="59">
        <v>0</v>
      </c>
      <c r="N35" s="62"/>
      <c r="O35" s="89">
        <v>0</v>
      </c>
      <c r="P35" s="63"/>
      <c r="Q35" s="57">
        <v>0</v>
      </c>
      <c r="R35" s="62"/>
      <c r="S35" s="59">
        <v>0</v>
      </c>
      <c r="T35" s="62"/>
      <c r="U35" s="89">
        <v>0</v>
      </c>
      <c r="V35" s="25"/>
      <c r="W35" s="57">
        <v>0</v>
      </c>
      <c r="X35" s="62"/>
      <c r="Y35" s="59">
        <v>0</v>
      </c>
      <c r="Z35" s="62"/>
      <c r="AA35" s="70">
        <v>0</v>
      </c>
      <c r="AB35" s="63"/>
      <c r="AC35" s="57">
        <v>0</v>
      </c>
      <c r="AD35" s="62"/>
      <c r="AE35" s="59">
        <v>0</v>
      </c>
      <c r="AF35" s="62"/>
      <c r="AG35" s="70">
        <v>0</v>
      </c>
      <c r="AH35" s="63"/>
      <c r="AI35" s="57">
        <v>0</v>
      </c>
      <c r="AJ35" s="62"/>
      <c r="AK35" s="59">
        <v>0</v>
      </c>
      <c r="AL35" s="62"/>
      <c r="AM35" s="70">
        <v>0</v>
      </c>
      <c r="AN35" s="63"/>
      <c r="AO35" s="57">
        <v>0</v>
      </c>
      <c r="AP35" s="62"/>
      <c r="AQ35" s="59">
        <v>0</v>
      </c>
      <c r="AR35" s="62"/>
      <c r="AS35" s="70">
        <v>0</v>
      </c>
      <c r="AT35" s="63"/>
      <c r="AU35" s="57">
        <v>0</v>
      </c>
      <c r="AV35" s="62"/>
      <c r="AW35" s="59">
        <v>0</v>
      </c>
      <c r="AX35" s="62"/>
      <c r="AY35" s="70">
        <v>0</v>
      </c>
      <c r="BA35" s="57">
        <v>0</v>
      </c>
      <c r="BB35" s="62"/>
      <c r="BC35" s="59">
        <v>0</v>
      </c>
      <c r="BD35" s="62"/>
      <c r="BE35" s="70">
        <v>0</v>
      </c>
      <c r="BG35" s="57">
        <v>0</v>
      </c>
      <c r="BH35" s="62"/>
      <c r="BI35" s="59">
        <v>0</v>
      </c>
      <c r="BJ35" s="62"/>
      <c r="BK35" s="70">
        <v>0</v>
      </c>
      <c r="BL35" s="63"/>
      <c r="BN35" s="57">
        <v>0</v>
      </c>
      <c r="BO35" s="62"/>
      <c r="BP35" s="59">
        <v>0</v>
      </c>
      <c r="BQ35" s="62"/>
      <c r="BR35" s="70">
        <v>0</v>
      </c>
      <c r="BS35" s="63"/>
    </row>
    <row r="36" spans="1:71" s="65" customFormat="1" hidden="1" outlineLevel="1">
      <c r="A36" s="65" t="s">
        <v>295</v>
      </c>
      <c r="B36" s="65" t="s">
        <v>296</v>
      </c>
      <c r="C36" s="65" t="s">
        <v>283</v>
      </c>
      <c r="D36" s="92" t="s">
        <v>397</v>
      </c>
      <c r="E36" s="67">
        <v>1.0000000005447899E-3</v>
      </c>
      <c r="F36" s="68"/>
      <c r="G36" s="69">
        <v>-27.053000000000001</v>
      </c>
      <c r="H36" s="68"/>
      <c r="I36" s="70">
        <v>27.054000000000546</v>
      </c>
      <c r="J36" s="71"/>
      <c r="K36" s="67">
        <v>-1.1819999999999999</v>
      </c>
      <c r="L36" s="68"/>
      <c r="M36" s="69">
        <v>-0.39800000000000002</v>
      </c>
      <c r="N36" s="51"/>
      <c r="O36" s="70">
        <v>-0.78399999999999992</v>
      </c>
      <c r="P36" s="53"/>
      <c r="Q36" s="67">
        <v>-1.1810000000001499</v>
      </c>
      <c r="R36" s="51"/>
      <c r="S36" s="69">
        <v>-27.451000000000001</v>
      </c>
      <c r="T36" s="51"/>
      <c r="U36" s="70">
        <v>26.26999999999985</v>
      </c>
      <c r="V36" s="25"/>
      <c r="W36" s="67">
        <v>0</v>
      </c>
      <c r="X36" s="51"/>
      <c r="Y36" s="69">
        <v>0</v>
      </c>
      <c r="Z36" s="51"/>
      <c r="AA36" s="70">
        <v>0</v>
      </c>
      <c r="AB36" s="53"/>
      <c r="AC36" s="67">
        <v>0</v>
      </c>
      <c r="AD36" s="51"/>
      <c r="AE36" s="69">
        <v>0</v>
      </c>
      <c r="AF36" s="51"/>
      <c r="AG36" s="70">
        <v>0</v>
      </c>
      <c r="AH36" s="53"/>
      <c r="AI36" s="67">
        <v>0</v>
      </c>
      <c r="AJ36" s="51"/>
      <c r="AK36" s="69">
        <v>0</v>
      </c>
      <c r="AL36" s="51"/>
      <c r="AM36" s="70">
        <v>0</v>
      </c>
      <c r="AN36" s="53"/>
      <c r="AO36" s="67">
        <v>0</v>
      </c>
      <c r="AP36" s="51"/>
      <c r="AQ36" s="69">
        <v>0</v>
      </c>
      <c r="AR36" s="51"/>
      <c r="AS36" s="70">
        <v>0</v>
      </c>
      <c r="AT36" s="53"/>
      <c r="AU36" s="67">
        <v>0</v>
      </c>
      <c r="AV36" s="51"/>
      <c r="AW36" s="69">
        <v>0</v>
      </c>
      <c r="AX36" s="51"/>
      <c r="AY36" s="70">
        <v>0</v>
      </c>
      <c r="BA36" s="67">
        <v>-1.1810000000001499</v>
      </c>
      <c r="BB36" s="51"/>
      <c r="BC36" s="69">
        <v>-27.451000000000001</v>
      </c>
      <c r="BD36" s="51"/>
      <c r="BE36" s="70">
        <v>26.26999999999985</v>
      </c>
      <c r="BG36" s="67">
        <v>0</v>
      </c>
      <c r="BH36" s="51"/>
      <c r="BI36" s="69">
        <v>0</v>
      </c>
      <c r="BJ36" s="51"/>
      <c r="BK36" s="70">
        <v>0</v>
      </c>
      <c r="BL36" s="53"/>
      <c r="BN36" s="67">
        <v>0</v>
      </c>
      <c r="BO36" s="51"/>
      <c r="BP36" s="69">
        <v>0</v>
      </c>
      <c r="BQ36" s="51"/>
      <c r="BR36" s="70">
        <v>0</v>
      </c>
      <c r="BS36" s="53"/>
    </row>
    <row r="37" spans="1:71" s="65" customFormat="1" hidden="1" outlineLevel="1">
      <c r="A37" s="65" t="s">
        <v>297</v>
      </c>
      <c r="B37" s="65" t="s">
        <v>267</v>
      </c>
      <c r="C37" s="65" t="s">
        <v>262</v>
      </c>
      <c r="D37" s="92" t="s">
        <v>390</v>
      </c>
      <c r="E37" s="67">
        <v>-1.9999999999527102E-3</v>
      </c>
      <c r="F37" s="68"/>
      <c r="G37" s="69">
        <v>0</v>
      </c>
      <c r="H37" s="68"/>
      <c r="I37" s="70">
        <v>-1.9999999999527102E-3</v>
      </c>
      <c r="J37" s="71"/>
      <c r="K37" s="67">
        <v>0</v>
      </c>
      <c r="L37" s="68"/>
      <c r="M37" s="69">
        <v>0</v>
      </c>
      <c r="N37" s="51"/>
      <c r="O37" s="70">
        <v>0</v>
      </c>
      <c r="P37" s="53"/>
      <c r="Q37" s="67">
        <v>-1.9999999999527102E-3</v>
      </c>
      <c r="R37" s="51"/>
      <c r="S37" s="69">
        <v>0</v>
      </c>
      <c r="T37" s="51"/>
      <c r="U37" s="70">
        <v>-1.9999999999527102E-3</v>
      </c>
      <c r="V37" s="25"/>
      <c r="W37" s="67">
        <v>0</v>
      </c>
      <c r="X37" s="51"/>
      <c r="Y37" s="69">
        <v>0</v>
      </c>
      <c r="Z37" s="51"/>
      <c r="AA37" s="70">
        <v>0</v>
      </c>
      <c r="AB37" s="53"/>
      <c r="AC37" s="67">
        <v>0</v>
      </c>
      <c r="AD37" s="51"/>
      <c r="AE37" s="69">
        <v>0</v>
      </c>
      <c r="AF37" s="51"/>
      <c r="AG37" s="70">
        <v>0</v>
      </c>
      <c r="AH37" s="53"/>
      <c r="AI37" s="67">
        <v>0</v>
      </c>
      <c r="AJ37" s="51"/>
      <c r="AK37" s="69">
        <v>0</v>
      </c>
      <c r="AL37" s="51"/>
      <c r="AM37" s="70">
        <v>0</v>
      </c>
      <c r="AN37" s="53"/>
      <c r="AO37" s="67">
        <v>0</v>
      </c>
      <c r="AP37" s="51"/>
      <c r="AQ37" s="69">
        <v>0</v>
      </c>
      <c r="AR37" s="51"/>
      <c r="AS37" s="70">
        <v>0</v>
      </c>
      <c r="AT37" s="53"/>
      <c r="AU37" s="67">
        <v>0</v>
      </c>
      <c r="AV37" s="51"/>
      <c r="AW37" s="69">
        <v>0</v>
      </c>
      <c r="AX37" s="51"/>
      <c r="AY37" s="70">
        <v>0</v>
      </c>
      <c r="BA37" s="67">
        <v>-1.9999999999527102E-3</v>
      </c>
      <c r="BB37" s="51"/>
      <c r="BC37" s="69">
        <v>0</v>
      </c>
      <c r="BD37" s="51"/>
      <c r="BE37" s="70">
        <v>-1.9999999999527102E-3</v>
      </c>
      <c r="BG37" s="67">
        <v>0</v>
      </c>
      <c r="BH37" s="51"/>
      <c r="BI37" s="69">
        <v>0</v>
      </c>
      <c r="BJ37" s="51"/>
      <c r="BK37" s="70">
        <v>0</v>
      </c>
      <c r="BL37" s="53"/>
      <c r="BN37" s="67">
        <v>0</v>
      </c>
      <c r="BO37" s="51"/>
      <c r="BP37" s="69">
        <v>0</v>
      </c>
      <c r="BQ37" s="51"/>
      <c r="BR37" s="70">
        <v>0</v>
      </c>
      <c r="BS37" s="53"/>
    </row>
    <row r="38" spans="1:71" s="65" customFormat="1" ht="15" hidden="1" customHeight="1" outlineLevel="1">
      <c r="A38" s="65" t="s">
        <v>298</v>
      </c>
      <c r="B38" s="65" t="s">
        <v>299</v>
      </c>
      <c r="C38" s="65" t="s">
        <v>283</v>
      </c>
      <c r="D38" s="92" t="s">
        <v>392</v>
      </c>
      <c r="E38" s="67">
        <v>0</v>
      </c>
      <c r="F38" s="68"/>
      <c r="G38" s="69">
        <v>0</v>
      </c>
      <c r="H38" s="93"/>
      <c r="I38" s="90">
        <v>0</v>
      </c>
      <c r="J38" s="71"/>
      <c r="K38" s="67">
        <v>0</v>
      </c>
      <c r="L38" s="68"/>
      <c r="M38" s="69">
        <v>0</v>
      </c>
      <c r="N38" s="51"/>
      <c r="O38" s="90">
        <v>0</v>
      </c>
      <c r="P38" s="53"/>
      <c r="Q38" s="67">
        <v>0</v>
      </c>
      <c r="R38" s="51"/>
      <c r="S38" s="69">
        <v>0</v>
      </c>
      <c r="T38" s="51"/>
      <c r="U38" s="90">
        <v>0</v>
      </c>
      <c r="V38" s="25"/>
      <c r="W38" s="67">
        <v>0</v>
      </c>
      <c r="X38" s="51"/>
      <c r="Y38" s="69">
        <v>0</v>
      </c>
      <c r="Z38" s="51"/>
      <c r="AA38" s="70">
        <v>0</v>
      </c>
      <c r="AB38" s="53"/>
      <c r="AC38" s="67">
        <v>0</v>
      </c>
      <c r="AD38" s="51"/>
      <c r="AE38" s="69">
        <v>0</v>
      </c>
      <c r="AF38" s="51"/>
      <c r="AG38" s="70">
        <v>0</v>
      </c>
      <c r="AH38" s="53"/>
      <c r="AI38" s="67">
        <v>0</v>
      </c>
      <c r="AJ38" s="51"/>
      <c r="AK38" s="69">
        <v>0</v>
      </c>
      <c r="AL38" s="51"/>
      <c r="AM38" s="70">
        <v>0</v>
      </c>
      <c r="AN38" s="53"/>
      <c r="AO38" s="67">
        <v>0</v>
      </c>
      <c r="AP38" s="51"/>
      <c r="AQ38" s="69">
        <v>0</v>
      </c>
      <c r="AR38" s="51"/>
      <c r="AS38" s="70">
        <v>0</v>
      </c>
      <c r="AT38" s="53"/>
      <c r="AU38" s="67">
        <v>0</v>
      </c>
      <c r="AV38" s="51"/>
      <c r="AW38" s="69">
        <v>0</v>
      </c>
      <c r="AX38" s="51"/>
      <c r="AY38" s="70">
        <v>0</v>
      </c>
      <c r="BA38" s="67">
        <v>0</v>
      </c>
      <c r="BB38" s="51"/>
      <c r="BC38" s="69">
        <v>0</v>
      </c>
      <c r="BD38" s="51"/>
      <c r="BE38" s="94">
        <v>0</v>
      </c>
      <c r="BG38" s="67">
        <v>0</v>
      </c>
      <c r="BH38" s="51"/>
      <c r="BI38" s="69">
        <v>0</v>
      </c>
      <c r="BJ38" s="51"/>
      <c r="BK38" s="70">
        <v>0</v>
      </c>
      <c r="BL38" s="53"/>
      <c r="BN38" s="67">
        <v>0</v>
      </c>
      <c r="BO38" s="51"/>
      <c r="BP38" s="69">
        <v>0</v>
      </c>
      <c r="BQ38" s="51"/>
      <c r="BR38" s="70">
        <v>0</v>
      </c>
      <c r="BS38" s="53"/>
    </row>
    <row r="39" spans="1:71" s="65" customFormat="1" ht="15" hidden="1" customHeight="1" outlineLevel="1">
      <c r="A39" s="65" t="s">
        <v>300</v>
      </c>
      <c r="B39" s="65" t="s">
        <v>301</v>
      </c>
      <c r="C39" s="65" t="s">
        <v>278</v>
      </c>
      <c r="D39" s="74" t="s">
        <v>302</v>
      </c>
      <c r="E39" s="67">
        <v>0</v>
      </c>
      <c r="F39" s="68"/>
      <c r="G39" s="69">
        <v>0</v>
      </c>
      <c r="H39" s="68"/>
      <c r="I39" s="70">
        <v>0</v>
      </c>
      <c r="J39" s="71"/>
      <c r="K39" s="67">
        <v>0</v>
      </c>
      <c r="L39" s="68"/>
      <c r="M39" s="69">
        <v>0</v>
      </c>
      <c r="N39" s="51"/>
      <c r="O39" s="70">
        <v>0</v>
      </c>
      <c r="P39" s="53"/>
      <c r="Q39" s="67">
        <v>0</v>
      </c>
      <c r="R39" s="51"/>
      <c r="S39" s="69">
        <v>0</v>
      </c>
      <c r="T39" s="51"/>
      <c r="U39" s="70">
        <v>0</v>
      </c>
      <c r="V39" s="25"/>
      <c r="W39" s="67">
        <v>0</v>
      </c>
      <c r="X39" s="51"/>
      <c r="Y39" s="69">
        <v>0</v>
      </c>
      <c r="Z39" s="51"/>
      <c r="AA39" s="70">
        <v>0</v>
      </c>
      <c r="AB39" s="53"/>
      <c r="AC39" s="67">
        <v>0</v>
      </c>
      <c r="AD39" s="51"/>
      <c r="AE39" s="69">
        <v>0</v>
      </c>
      <c r="AF39" s="51"/>
      <c r="AG39" s="70">
        <v>0</v>
      </c>
      <c r="AH39" s="53"/>
      <c r="AI39" s="67">
        <v>0</v>
      </c>
      <c r="AJ39" s="51"/>
      <c r="AK39" s="69">
        <v>0</v>
      </c>
      <c r="AL39" s="51"/>
      <c r="AM39" s="70">
        <v>0</v>
      </c>
      <c r="AN39" s="53"/>
      <c r="AO39" s="67">
        <v>0</v>
      </c>
      <c r="AP39" s="51"/>
      <c r="AQ39" s="69">
        <v>0</v>
      </c>
      <c r="AR39" s="51"/>
      <c r="AS39" s="70">
        <v>0</v>
      </c>
      <c r="AT39" s="53"/>
      <c r="AU39" s="67">
        <v>0</v>
      </c>
      <c r="AV39" s="51"/>
      <c r="AW39" s="69">
        <v>0</v>
      </c>
      <c r="AX39" s="51"/>
      <c r="AY39" s="70">
        <v>0</v>
      </c>
      <c r="BA39" s="67">
        <v>0</v>
      </c>
      <c r="BB39" s="51"/>
      <c r="BC39" s="69">
        <v>0</v>
      </c>
      <c r="BD39" s="51"/>
      <c r="BE39" s="70">
        <v>0</v>
      </c>
      <c r="BG39" s="67">
        <v>0</v>
      </c>
      <c r="BH39" s="51"/>
      <c r="BI39" s="69">
        <v>0</v>
      </c>
      <c r="BJ39" s="51"/>
      <c r="BK39" s="70">
        <v>0</v>
      </c>
      <c r="BL39" s="53"/>
      <c r="BN39" s="67">
        <v>0</v>
      </c>
      <c r="BO39" s="51"/>
      <c r="BP39" s="69">
        <v>0</v>
      </c>
      <c r="BQ39" s="51"/>
      <c r="BR39" s="70">
        <v>0</v>
      </c>
      <c r="BS39" s="53"/>
    </row>
    <row r="40" spans="1:71" s="65" customFormat="1" ht="15" hidden="1" customHeight="1" outlineLevel="1">
      <c r="A40" s="65" t="s">
        <v>303</v>
      </c>
      <c r="B40" s="65" t="s">
        <v>277</v>
      </c>
      <c r="C40" s="65" t="s">
        <v>278</v>
      </c>
      <c r="D40" s="74" t="s">
        <v>304</v>
      </c>
      <c r="E40" s="67">
        <v>0</v>
      </c>
      <c r="F40" s="68"/>
      <c r="G40" s="69">
        <v>0</v>
      </c>
      <c r="H40" s="68"/>
      <c r="I40" s="70">
        <v>0</v>
      </c>
      <c r="J40" s="71"/>
      <c r="K40" s="67">
        <v>-2.0000000000166599E-3</v>
      </c>
      <c r="L40" s="68"/>
      <c r="M40" s="69">
        <v>0.12700000000000999</v>
      </c>
      <c r="N40" s="51"/>
      <c r="O40" s="70">
        <v>-0.12900000000002665</v>
      </c>
      <c r="P40" s="53"/>
      <c r="Q40" s="67">
        <v>-2.00000000001799E-3</v>
      </c>
      <c r="R40" s="51"/>
      <c r="S40" s="69">
        <v>0.12700000000000999</v>
      </c>
      <c r="T40" s="51"/>
      <c r="U40" s="70">
        <v>-0.12900000000002798</v>
      </c>
      <c r="V40" s="25"/>
      <c r="W40" s="67"/>
      <c r="X40" s="51"/>
      <c r="Y40" s="69"/>
      <c r="Z40" s="51"/>
      <c r="AA40" s="94"/>
      <c r="AB40" s="53"/>
      <c r="AC40" s="67"/>
      <c r="AD40" s="51"/>
      <c r="AE40" s="69"/>
      <c r="AF40" s="51"/>
      <c r="AG40" s="94"/>
      <c r="AH40" s="53"/>
      <c r="AI40" s="67"/>
      <c r="AJ40" s="51"/>
      <c r="AK40" s="69"/>
      <c r="AL40" s="51"/>
      <c r="AM40" s="94"/>
      <c r="AN40" s="53"/>
      <c r="AO40" s="67"/>
      <c r="AP40" s="51"/>
      <c r="AQ40" s="69"/>
      <c r="AR40" s="51"/>
      <c r="AS40" s="94"/>
      <c r="AT40" s="53"/>
      <c r="AU40" s="67"/>
      <c r="AV40" s="51"/>
      <c r="AW40" s="69"/>
      <c r="AX40" s="51"/>
      <c r="AY40" s="94"/>
      <c r="BA40" s="67"/>
      <c r="BB40" s="51"/>
      <c r="BC40" s="69"/>
      <c r="BD40" s="51"/>
      <c r="BE40" s="94"/>
      <c r="BG40" s="67"/>
      <c r="BH40" s="51"/>
      <c r="BI40" s="69"/>
      <c r="BJ40" s="51"/>
      <c r="BK40" s="94"/>
      <c r="BL40" s="53"/>
      <c r="BN40" s="67"/>
      <c r="BO40" s="51"/>
      <c r="BP40" s="69"/>
      <c r="BQ40" s="51"/>
      <c r="BR40" s="94"/>
      <c r="BS40" s="53"/>
    </row>
    <row r="41" spans="1:71" s="65" customFormat="1" ht="15" hidden="1" customHeight="1" outlineLevel="1">
      <c r="C41" s="65" t="s">
        <v>278</v>
      </c>
      <c r="D41" s="92" t="s">
        <v>305</v>
      </c>
      <c r="E41" s="67">
        <v>0</v>
      </c>
      <c r="F41" s="68"/>
      <c r="G41" s="69">
        <v>0</v>
      </c>
      <c r="H41" s="68"/>
      <c r="I41" s="90">
        <v>0</v>
      </c>
      <c r="J41" s="71"/>
      <c r="K41" s="67">
        <v>-2.0000000000166599E-3</v>
      </c>
      <c r="L41" s="68"/>
      <c r="M41" s="69">
        <v>0.12700000000000999</v>
      </c>
      <c r="N41" s="51"/>
      <c r="O41" s="90">
        <v>-0.12900000000002665</v>
      </c>
      <c r="P41" s="53"/>
      <c r="Q41" s="67">
        <v>-2.00000000001799E-3</v>
      </c>
      <c r="R41" s="51"/>
      <c r="S41" s="69">
        <v>0.12700000000000999</v>
      </c>
      <c r="T41" s="51"/>
      <c r="U41" s="90">
        <v>-0.12900000000002798</v>
      </c>
      <c r="V41" s="25"/>
      <c r="W41" s="67"/>
      <c r="X41" s="51"/>
      <c r="Y41" s="69"/>
      <c r="Z41" s="51"/>
      <c r="AA41" s="94"/>
      <c r="AB41" s="53"/>
      <c r="AC41" s="67"/>
      <c r="AD41" s="51"/>
      <c r="AE41" s="69"/>
      <c r="AF41" s="51"/>
      <c r="AG41" s="94"/>
      <c r="AH41" s="53"/>
      <c r="AI41" s="67"/>
      <c r="AJ41" s="51"/>
      <c r="AK41" s="69"/>
      <c r="AL41" s="51"/>
      <c r="AM41" s="94"/>
      <c r="AN41" s="53"/>
      <c r="AO41" s="67"/>
      <c r="AP41" s="51"/>
      <c r="AQ41" s="69"/>
      <c r="AR41" s="51"/>
      <c r="AS41" s="94"/>
      <c r="AT41" s="53"/>
      <c r="AU41" s="67"/>
      <c r="AV41" s="51"/>
      <c r="AW41" s="69"/>
      <c r="AX41" s="51"/>
      <c r="AY41" s="94"/>
      <c r="BA41" s="67"/>
      <c r="BB41" s="51"/>
      <c r="BC41" s="69"/>
      <c r="BD41" s="51"/>
      <c r="BE41" s="94"/>
      <c r="BG41" s="67"/>
      <c r="BH41" s="51"/>
      <c r="BI41" s="69"/>
      <c r="BJ41" s="51"/>
      <c r="BK41" s="94"/>
      <c r="BL41" s="53"/>
      <c r="BN41" s="67"/>
      <c r="BO41" s="51"/>
      <c r="BP41" s="69"/>
      <c r="BQ41" s="51"/>
      <c r="BR41" s="94"/>
      <c r="BS41" s="53"/>
    </row>
    <row r="42" spans="1:71" s="65" customFormat="1" hidden="1" outlineLevel="1">
      <c r="A42" s="65" t="s">
        <v>303</v>
      </c>
      <c r="B42" s="65" t="s">
        <v>301</v>
      </c>
      <c r="C42" s="65" t="s">
        <v>290</v>
      </c>
      <c r="D42" s="92" t="s">
        <v>395</v>
      </c>
      <c r="E42" s="67">
        <v>0</v>
      </c>
      <c r="F42" s="68"/>
      <c r="G42" s="69">
        <v>0</v>
      </c>
      <c r="H42" s="93"/>
      <c r="I42" s="90">
        <v>0</v>
      </c>
      <c r="J42" s="71"/>
      <c r="K42" s="67">
        <v>0</v>
      </c>
      <c r="L42" s="68"/>
      <c r="M42" s="69">
        <v>0</v>
      </c>
      <c r="N42" s="51"/>
      <c r="O42" s="90">
        <v>0</v>
      </c>
      <c r="P42" s="53"/>
      <c r="Q42" s="67">
        <v>0</v>
      </c>
      <c r="R42" s="51"/>
      <c r="S42" s="69">
        <v>0</v>
      </c>
      <c r="T42" s="51"/>
      <c r="U42" s="90">
        <v>0</v>
      </c>
      <c r="V42" s="25"/>
      <c r="W42" s="67">
        <v>0</v>
      </c>
      <c r="X42" s="51"/>
      <c r="Y42" s="69">
        <v>0</v>
      </c>
      <c r="Z42" s="51"/>
      <c r="AA42" s="94">
        <v>0</v>
      </c>
      <c r="AB42" s="53"/>
      <c r="AC42" s="67">
        <v>0</v>
      </c>
      <c r="AD42" s="51"/>
      <c r="AE42" s="69">
        <v>0</v>
      </c>
      <c r="AF42" s="51"/>
      <c r="AG42" s="94">
        <v>0</v>
      </c>
      <c r="AH42" s="53"/>
      <c r="AI42" s="67">
        <v>0</v>
      </c>
      <c r="AJ42" s="51"/>
      <c r="AK42" s="69">
        <v>0</v>
      </c>
      <c r="AL42" s="51"/>
      <c r="AM42" s="94">
        <v>0</v>
      </c>
      <c r="AN42" s="53"/>
      <c r="AO42" s="67">
        <v>0</v>
      </c>
      <c r="AP42" s="51"/>
      <c r="AQ42" s="69">
        <v>0</v>
      </c>
      <c r="AR42" s="51"/>
      <c r="AS42" s="94">
        <v>0</v>
      </c>
      <c r="AT42" s="53"/>
      <c r="AU42" s="67">
        <v>0</v>
      </c>
      <c r="AV42" s="51"/>
      <c r="AW42" s="69">
        <v>0</v>
      </c>
      <c r="AX42" s="51"/>
      <c r="AY42" s="94">
        <v>0</v>
      </c>
      <c r="BA42" s="67">
        <v>0</v>
      </c>
      <c r="BB42" s="51"/>
      <c r="BC42" s="69">
        <v>0</v>
      </c>
      <c r="BD42" s="51"/>
      <c r="BE42" s="94">
        <v>0</v>
      </c>
      <c r="BG42" s="67">
        <v>0</v>
      </c>
      <c r="BH42" s="51"/>
      <c r="BI42" s="69">
        <v>0</v>
      </c>
      <c r="BJ42" s="51"/>
      <c r="BK42" s="94">
        <v>0</v>
      </c>
      <c r="BL42" s="53"/>
      <c r="BN42" s="67">
        <v>0</v>
      </c>
      <c r="BO42" s="51"/>
      <c r="BP42" s="69">
        <v>0</v>
      </c>
      <c r="BQ42" s="51"/>
      <c r="BR42" s="94">
        <v>0</v>
      </c>
      <c r="BS42" s="53"/>
    </row>
    <row r="43" spans="1:71" s="65" customFormat="1" hidden="1" outlineLevel="1">
      <c r="A43" s="65" t="s">
        <v>306</v>
      </c>
      <c r="B43" s="65" t="s">
        <v>307</v>
      </c>
      <c r="C43" s="65" t="s">
        <v>103</v>
      </c>
      <c r="D43" s="92" t="s">
        <v>394</v>
      </c>
      <c r="E43" s="67">
        <v>0</v>
      </c>
      <c r="F43" s="68"/>
      <c r="G43" s="69">
        <v>0</v>
      </c>
      <c r="H43" s="68"/>
      <c r="I43" s="70">
        <v>0</v>
      </c>
      <c r="J43" s="71"/>
      <c r="K43" s="67">
        <v>0</v>
      </c>
      <c r="L43" s="68"/>
      <c r="M43" s="69">
        <v>0</v>
      </c>
      <c r="N43" s="51"/>
      <c r="O43" s="70">
        <v>0</v>
      </c>
      <c r="P43" s="53"/>
      <c r="Q43" s="67">
        <v>0</v>
      </c>
      <c r="R43" s="51"/>
      <c r="S43" s="69">
        <v>0</v>
      </c>
      <c r="T43" s="51"/>
      <c r="U43" s="70">
        <v>0</v>
      </c>
      <c r="V43" s="25"/>
      <c r="W43" s="67">
        <v>0</v>
      </c>
      <c r="X43" s="51"/>
      <c r="Y43" s="69">
        <v>0</v>
      </c>
      <c r="Z43" s="51"/>
      <c r="AA43" s="70">
        <v>0</v>
      </c>
      <c r="AB43" s="53"/>
      <c r="AC43" s="67">
        <v>0</v>
      </c>
      <c r="AD43" s="51"/>
      <c r="AE43" s="69">
        <v>0</v>
      </c>
      <c r="AF43" s="51"/>
      <c r="AG43" s="70">
        <v>0</v>
      </c>
      <c r="AH43" s="53"/>
      <c r="AI43" s="67">
        <v>0</v>
      </c>
      <c r="AJ43" s="51"/>
      <c r="AK43" s="69">
        <v>0</v>
      </c>
      <c r="AL43" s="51"/>
      <c r="AM43" s="70">
        <v>0</v>
      </c>
      <c r="AN43" s="53"/>
      <c r="AO43" s="67">
        <v>0</v>
      </c>
      <c r="AP43" s="51"/>
      <c r="AQ43" s="69">
        <v>0</v>
      </c>
      <c r="AR43" s="51"/>
      <c r="AS43" s="70">
        <v>0</v>
      </c>
      <c r="AT43" s="53"/>
      <c r="AU43" s="67">
        <v>0</v>
      </c>
      <c r="AV43" s="51"/>
      <c r="AW43" s="69">
        <v>0</v>
      </c>
      <c r="AX43" s="51"/>
      <c r="AY43" s="70">
        <v>0</v>
      </c>
      <c r="BA43" s="67">
        <v>0</v>
      </c>
      <c r="BB43" s="51"/>
      <c r="BC43" s="69">
        <v>0</v>
      </c>
      <c r="BD43" s="51"/>
      <c r="BE43" s="70">
        <v>0</v>
      </c>
      <c r="BG43" s="67">
        <v>0</v>
      </c>
      <c r="BH43" s="51"/>
      <c r="BI43" s="69">
        <v>0</v>
      </c>
      <c r="BJ43" s="51"/>
      <c r="BK43" s="70">
        <v>0</v>
      </c>
      <c r="BL43" s="53"/>
      <c r="BN43" s="67">
        <v>0</v>
      </c>
      <c r="BO43" s="51"/>
      <c r="BP43" s="69">
        <v>0</v>
      </c>
      <c r="BQ43" s="51"/>
      <c r="BR43" s="70">
        <v>0</v>
      </c>
      <c r="BS43" s="53"/>
    </row>
    <row r="44" spans="1:71" s="75" customFormat="1" ht="14.4" hidden="1" outlineLevel="1">
      <c r="A44" s="75" t="s">
        <v>306</v>
      </c>
      <c r="B44" s="75" t="s">
        <v>308</v>
      </c>
      <c r="C44" s="75" t="s">
        <v>287</v>
      </c>
      <c r="D44" s="95" t="s">
        <v>288</v>
      </c>
      <c r="E44" s="77">
        <v>0</v>
      </c>
      <c r="F44" s="78"/>
      <c r="G44" s="79">
        <v>0</v>
      </c>
      <c r="H44" s="78"/>
      <c r="I44" s="96">
        <v>0</v>
      </c>
      <c r="J44" s="81"/>
      <c r="K44" s="77">
        <v>0</v>
      </c>
      <c r="L44" s="78"/>
      <c r="M44" s="79">
        <v>0</v>
      </c>
      <c r="N44" s="82"/>
      <c r="O44" s="96">
        <v>0</v>
      </c>
      <c r="P44" s="83"/>
      <c r="Q44" s="77">
        <v>0</v>
      </c>
      <c r="R44" s="82"/>
      <c r="S44" s="79">
        <v>0</v>
      </c>
      <c r="T44" s="82"/>
      <c r="U44" s="96">
        <v>0</v>
      </c>
      <c r="V44" s="25"/>
      <c r="W44" s="77">
        <v>0</v>
      </c>
      <c r="X44" s="82"/>
      <c r="Y44" s="79">
        <v>0</v>
      </c>
      <c r="Z44" s="82"/>
      <c r="AA44" s="96">
        <v>0</v>
      </c>
      <c r="AB44" s="83"/>
      <c r="AC44" s="77">
        <v>0</v>
      </c>
      <c r="AD44" s="82"/>
      <c r="AE44" s="79">
        <v>0</v>
      </c>
      <c r="AF44" s="82"/>
      <c r="AG44" s="96">
        <v>0</v>
      </c>
      <c r="AH44" s="83"/>
      <c r="AI44" s="77">
        <v>0</v>
      </c>
      <c r="AJ44" s="82"/>
      <c r="AK44" s="79">
        <v>0</v>
      </c>
      <c r="AL44" s="82"/>
      <c r="AM44" s="96">
        <v>0</v>
      </c>
      <c r="AN44" s="83"/>
      <c r="AO44" s="77">
        <v>0</v>
      </c>
      <c r="AP44" s="82"/>
      <c r="AQ44" s="79">
        <v>0</v>
      </c>
      <c r="AR44" s="82"/>
      <c r="AS44" s="96">
        <v>0</v>
      </c>
      <c r="AT44" s="83"/>
      <c r="AU44" s="77">
        <v>0</v>
      </c>
      <c r="AV44" s="82"/>
      <c r="AW44" s="79">
        <v>0</v>
      </c>
      <c r="AX44" s="82"/>
      <c r="AY44" s="96">
        <v>0</v>
      </c>
      <c r="BA44" s="77">
        <v>0</v>
      </c>
      <c r="BB44" s="82"/>
      <c r="BC44" s="79">
        <v>0</v>
      </c>
      <c r="BD44" s="82"/>
      <c r="BE44" s="96">
        <v>0</v>
      </c>
      <c r="BG44" s="77">
        <v>0</v>
      </c>
      <c r="BH44" s="82"/>
      <c r="BI44" s="79">
        <v>0</v>
      </c>
      <c r="BJ44" s="82"/>
      <c r="BK44" s="96">
        <v>0</v>
      </c>
      <c r="BL44" s="83"/>
      <c r="BN44" s="77">
        <v>0</v>
      </c>
      <c r="BO44" s="82"/>
      <c r="BP44" s="79">
        <v>0</v>
      </c>
      <c r="BQ44" s="82"/>
      <c r="BR44" s="96">
        <v>0</v>
      </c>
      <c r="BS44" s="83"/>
    </row>
    <row r="45" spans="1:71" s="65" customFormat="1" hidden="1" outlineLevel="1">
      <c r="A45" s="65" t="s">
        <v>303</v>
      </c>
      <c r="B45" s="65" t="s">
        <v>309</v>
      </c>
      <c r="C45" s="65" t="s">
        <v>310</v>
      </c>
      <c r="D45" s="92" t="s">
        <v>398</v>
      </c>
      <c r="E45" s="67">
        <v>0</v>
      </c>
      <c r="F45" s="68"/>
      <c r="G45" s="69">
        <v>0</v>
      </c>
      <c r="H45" s="93"/>
      <c r="I45" s="94">
        <v>0</v>
      </c>
      <c r="J45" s="71"/>
      <c r="K45" s="67">
        <v>0</v>
      </c>
      <c r="L45" s="68"/>
      <c r="M45" s="69">
        <v>0</v>
      </c>
      <c r="N45" s="51"/>
      <c r="O45" s="70">
        <v>0</v>
      </c>
      <c r="P45" s="53"/>
      <c r="Q45" s="67">
        <v>0</v>
      </c>
      <c r="R45" s="51"/>
      <c r="S45" s="69">
        <v>0</v>
      </c>
      <c r="T45" s="51"/>
      <c r="U45" s="94">
        <v>0</v>
      </c>
      <c r="V45" s="25"/>
      <c r="W45" s="67">
        <v>0</v>
      </c>
      <c r="X45" s="51"/>
      <c r="Y45" s="69">
        <v>0</v>
      </c>
      <c r="Z45" s="51"/>
      <c r="AA45" s="94">
        <v>0</v>
      </c>
      <c r="AB45" s="53"/>
      <c r="AC45" s="67">
        <v>0</v>
      </c>
      <c r="AD45" s="51"/>
      <c r="AE45" s="69">
        <v>0</v>
      </c>
      <c r="AF45" s="51"/>
      <c r="AG45" s="94">
        <v>0</v>
      </c>
      <c r="AH45" s="53"/>
      <c r="AI45" s="67">
        <v>0</v>
      </c>
      <c r="AJ45" s="51"/>
      <c r="AK45" s="69">
        <v>0</v>
      </c>
      <c r="AL45" s="51"/>
      <c r="AM45" s="94">
        <v>0</v>
      </c>
      <c r="AN45" s="53"/>
      <c r="AO45" s="67">
        <v>0</v>
      </c>
      <c r="AP45" s="51"/>
      <c r="AQ45" s="69">
        <v>0</v>
      </c>
      <c r="AR45" s="51"/>
      <c r="AS45" s="94">
        <v>0</v>
      </c>
      <c r="AT45" s="53"/>
      <c r="AU45" s="67">
        <v>0</v>
      </c>
      <c r="AV45" s="51"/>
      <c r="AW45" s="69">
        <v>0</v>
      </c>
      <c r="AX45" s="51"/>
      <c r="AY45" s="94">
        <v>0</v>
      </c>
      <c r="BA45" s="67">
        <v>0</v>
      </c>
      <c r="BB45" s="51"/>
      <c r="BC45" s="69">
        <v>0</v>
      </c>
      <c r="BD45" s="51"/>
      <c r="BE45" s="94">
        <v>0</v>
      </c>
      <c r="BG45" s="67">
        <v>0</v>
      </c>
      <c r="BH45" s="51"/>
      <c r="BI45" s="69">
        <v>0</v>
      </c>
      <c r="BJ45" s="51"/>
      <c r="BK45" s="94">
        <v>0</v>
      </c>
      <c r="BL45" s="53"/>
      <c r="BN45" s="67">
        <v>0</v>
      </c>
      <c r="BO45" s="51"/>
      <c r="BP45" s="69">
        <v>0</v>
      </c>
      <c r="BQ45" s="51"/>
      <c r="BR45" s="94">
        <v>0</v>
      </c>
      <c r="BS45" s="53"/>
    </row>
    <row r="46" spans="1:71" s="65" customFormat="1" hidden="1" outlineLevel="1">
      <c r="A46" s="65" t="s">
        <v>303</v>
      </c>
      <c r="B46" s="65" t="s">
        <v>311</v>
      </c>
      <c r="C46" s="65" t="s">
        <v>281</v>
      </c>
      <c r="D46" s="97" t="s">
        <v>391</v>
      </c>
      <c r="E46" s="67">
        <v>0</v>
      </c>
      <c r="F46" s="68"/>
      <c r="G46" s="69">
        <v>0</v>
      </c>
      <c r="H46" s="93"/>
      <c r="I46" s="94">
        <v>0</v>
      </c>
      <c r="J46" s="71"/>
      <c r="K46" s="67">
        <v>0</v>
      </c>
      <c r="L46" s="68"/>
      <c r="M46" s="69">
        <v>0</v>
      </c>
      <c r="N46" s="51"/>
      <c r="O46" s="70">
        <v>0</v>
      </c>
      <c r="P46" s="53"/>
      <c r="Q46" s="67">
        <v>0</v>
      </c>
      <c r="R46" s="51"/>
      <c r="S46" s="69">
        <v>0</v>
      </c>
      <c r="T46" s="51"/>
      <c r="U46" s="94">
        <v>0</v>
      </c>
      <c r="V46" s="25"/>
      <c r="W46" s="67">
        <v>0</v>
      </c>
      <c r="X46" s="51"/>
      <c r="Y46" s="69">
        <v>0</v>
      </c>
      <c r="Z46" s="51"/>
      <c r="AA46" s="94">
        <v>0</v>
      </c>
      <c r="AB46" s="53"/>
      <c r="AC46" s="67">
        <v>0</v>
      </c>
      <c r="AD46" s="51"/>
      <c r="AE46" s="69">
        <v>0</v>
      </c>
      <c r="AF46" s="51"/>
      <c r="AG46" s="94">
        <v>0</v>
      </c>
      <c r="AH46" s="53"/>
      <c r="AI46" s="67">
        <v>0</v>
      </c>
      <c r="AJ46" s="51"/>
      <c r="AK46" s="69">
        <v>0</v>
      </c>
      <c r="AL46" s="51"/>
      <c r="AM46" s="94">
        <v>0</v>
      </c>
      <c r="AN46" s="53"/>
      <c r="AO46" s="67">
        <v>0</v>
      </c>
      <c r="AP46" s="51"/>
      <c r="AQ46" s="69">
        <v>0</v>
      </c>
      <c r="AR46" s="51"/>
      <c r="AS46" s="94">
        <v>0</v>
      </c>
      <c r="AT46" s="53"/>
      <c r="AU46" s="67">
        <v>0</v>
      </c>
      <c r="AV46" s="51"/>
      <c r="AW46" s="69">
        <v>0</v>
      </c>
      <c r="AX46" s="51"/>
      <c r="AY46" s="94">
        <v>0</v>
      </c>
      <c r="BA46" s="67">
        <v>0</v>
      </c>
      <c r="BB46" s="51"/>
      <c r="BC46" s="69">
        <v>0</v>
      </c>
      <c r="BD46" s="51"/>
      <c r="BE46" s="94">
        <v>0</v>
      </c>
      <c r="BG46" s="67">
        <v>0</v>
      </c>
      <c r="BH46" s="51"/>
      <c r="BI46" s="69">
        <v>0</v>
      </c>
      <c r="BJ46" s="51"/>
      <c r="BK46" s="94">
        <v>0</v>
      </c>
      <c r="BL46" s="53"/>
      <c r="BN46" s="67">
        <v>0</v>
      </c>
      <c r="BO46" s="51"/>
      <c r="BP46" s="69">
        <v>0</v>
      </c>
      <c r="BQ46" s="51"/>
      <c r="BR46" s="94">
        <v>0</v>
      </c>
      <c r="BS46" s="53"/>
    </row>
    <row r="47" spans="1:71" s="44" customFormat="1" collapsed="1">
      <c r="A47" s="65"/>
      <c r="B47" s="65"/>
      <c r="C47" s="65"/>
      <c r="D47" s="86" t="s">
        <v>312</v>
      </c>
      <c r="E47" s="87">
        <v>68139.44269917463</v>
      </c>
      <c r="F47" s="47"/>
      <c r="G47" s="88">
        <v>67918.788542675</v>
      </c>
      <c r="H47" s="98">
        <v>0</v>
      </c>
      <c r="I47" s="99">
        <v>220.65415649962961</v>
      </c>
      <c r="J47" s="100"/>
      <c r="K47" s="87">
        <v>-88968.805306882859</v>
      </c>
      <c r="L47" s="47"/>
      <c r="M47" s="88">
        <v>-90483.400143307663</v>
      </c>
      <c r="N47" s="98">
        <v>0</v>
      </c>
      <c r="O47" s="99">
        <v>1514.5948364248034</v>
      </c>
      <c r="P47" s="53"/>
      <c r="Q47" s="87">
        <v>-21420.450102452014</v>
      </c>
      <c r="R47" s="47"/>
      <c r="S47" s="88">
        <v>-22629.76411560841</v>
      </c>
      <c r="T47" s="98">
        <v>0</v>
      </c>
      <c r="U47" s="99">
        <v>1209.314013156396</v>
      </c>
      <c r="V47" s="101"/>
      <c r="W47" s="87">
        <v>-628.67706191157208</v>
      </c>
      <c r="X47" s="47"/>
      <c r="Y47" s="88">
        <v>-556.78122380897275</v>
      </c>
      <c r="Z47" s="98">
        <v>0</v>
      </c>
      <c r="AA47" s="99">
        <v>-71.895838102599271</v>
      </c>
      <c r="AB47" s="53"/>
      <c r="AC47" s="87">
        <v>0</v>
      </c>
      <c r="AD47" s="47"/>
      <c r="AE47" s="88">
        <v>0</v>
      </c>
      <c r="AF47" s="98">
        <v>0</v>
      </c>
      <c r="AG47" s="99">
        <v>0</v>
      </c>
      <c r="AH47" s="53"/>
      <c r="AI47" s="87">
        <v>-65.19136554995859</v>
      </c>
      <c r="AJ47" s="47"/>
      <c r="AK47" s="88">
        <v>385.17738520354391</v>
      </c>
      <c r="AL47" s="98">
        <v>0</v>
      </c>
      <c r="AM47" s="99">
        <v>-450.36875075350252</v>
      </c>
      <c r="AN47" s="53"/>
      <c r="AO47" s="87">
        <v>-9254.1528094468576</v>
      </c>
      <c r="AP47" s="47"/>
      <c r="AQ47" s="88">
        <v>-9423.7939901133559</v>
      </c>
      <c r="AR47" s="98">
        <v>0</v>
      </c>
      <c r="AS47" s="99">
        <v>169.64118066650101</v>
      </c>
      <c r="AT47" s="53"/>
      <c r="AU47" s="87">
        <v>-9948.0212369083893</v>
      </c>
      <c r="AV47" s="51"/>
      <c r="AW47" s="88">
        <v>-9595.3978287187856</v>
      </c>
      <c r="AX47" s="51">
        <v>0</v>
      </c>
      <c r="AY47" s="52">
        <v>-352.62340818960081</v>
      </c>
      <c r="BA47" s="87">
        <v>-12166.297293005142</v>
      </c>
      <c r="BB47" s="47"/>
      <c r="BC47" s="88">
        <v>-13205.97012549506</v>
      </c>
      <c r="BD47" s="98">
        <v>0</v>
      </c>
      <c r="BE47" s="99">
        <v>1039.6728324899116</v>
      </c>
      <c r="BG47" s="87">
        <v>-8308.4820165472684</v>
      </c>
      <c r="BH47" s="47"/>
      <c r="BI47" s="88">
        <v>-8465.5305750952375</v>
      </c>
      <c r="BJ47" s="98">
        <v>0</v>
      </c>
      <c r="BK47" s="99">
        <v>157.04855854796418</v>
      </c>
      <c r="BL47" s="53"/>
      <c r="BN47" s="87">
        <v>-945.67079289958906</v>
      </c>
      <c r="BO47" s="47"/>
      <c r="BP47" s="88">
        <v>-958.26341501812271</v>
      </c>
      <c r="BQ47" s="98">
        <v>0</v>
      </c>
      <c r="BR47" s="99">
        <v>12.592622118533683</v>
      </c>
      <c r="BS47" s="53"/>
    </row>
    <row r="48" spans="1:71" s="64" customFormat="1" ht="15" customHeight="1">
      <c r="A48" s="54" t="s">
        <v>313</v>
      </c>
      <c r="B48" s="55" t="s">
        <v>261</v>
      </c>
      <c r="C48" s="55" t="s">
        <v>294</v>
      </c>
      <c r="D48" s="56" t="s">
        <v>263</v>
      </c>
      <c r="E48" s="57">
        <v>0</v>
      </c>
      <c r="F48" s="102"/>
      <c r="G48" s="59">
        <v>930</v>
      </c>
      <c r="H48" s="93"/>
      <c r="I48" s="70">
        <v>-930</v>
      </c>
      <c r="J48" s="103"/>
      <c r="K48" s="57">
        <v>0</v>
      </c>
      <c r="L48" s="68"/>
      <c r="M48" s="59">
        <v>-684.5</v>
      </c>
      <c r="N48" s="51"/>
      <c r="O48" s="60">
        <v>684.5</v>
      </c>
      <c r="P48" s="53"/>
      <c r="Q48" s="57">
        <v>0</v>
      </c>
      <c r="R48" s="51"/>
      <c r="S48" s="59">
        <v>245.5</v>
      </c>
      <c r="T48" s="51"/>
      <c r="U48" s="70">
        <v>-245.5</v>
      </c>
      <c r="V48" s="25"/>
      <c r="W48" s="57">
        <v>0</v>
      </c>
      <c r="X48" s="51"/>
      <c r="Y48" s="59">
        <v>0</v>
      </c>
      <c r="Z48" s="51"/>
      <c r="AA48" s="70">
        <v>0</v>
      </c>
      <c r="AB48" s="53"/>
      <c r="AC48" s="57">
        <v>0</v>
      </c>
      <c r="AD48" s="51"/>
      <c r="AE48" s="59">
        <v>0</v>
      </c>
      <c r="AF48" s="51"/>
      <c r="AG48" s="70">
        <v>0</v>
      </c>
      <c r="AH48" s="53"/>
      <c r="AI48" s="57">
        <v>0</v>
      </c>
      <c r="AJ48" s="51"/>
      <c r="AK48" s="59">
        <v>0</v>
      </c>
      <c r="AL48" s="51"/>
      <c r="AM48" s="70">
        <v>0</v>
      </c>
      <c r="AN48" s="53"/>
      <c r="AO48" s="57">
        <v>0</v>
      </c>
      <c r="AP48" s="51"/>
      <c r="AQ48" s="59">
        <v>0</v>
      </c>
      <c r="AR48" s="51"/>
      <c r="AS48" s="70">
        <v>0</v>
      </c>
      <c r="AT48" s="63"/>
      <c r="AU48" s="57">
        <v>0</v>
      </c>
      <c r="AV48" s="51"/>
      <c r="AW48" s="59">
        <v>0</v>
      </c>
      <c r="AX48" s="51"/>
      <c r="AY48" s="70">
        <v>0</v>
      </c>
      <c r="BA48" s="57">
        <v>0</v>
      </c>
      <c r="BB48" s="62"/>
      <c r="BC48" s="59">
        <v>245.5</v>
      </c>
      <c r="BD48" s="62"/>
      <c r="BE48" s="60">
        <v>-245.5</v>
      </c>
      <c r="BG48" s="57">
        <v>0</v>
      </c>
      <c r="BH48" s="51"/>
      <c r="BI48" s="59">
        <v>0</v>
      </c>
      <c r="BJ48" s="51"/>
      <c r="BK48" s="70">
        <v>0</v>
      </c>
      <c r="BL48" s="63"/>
      <c r="BN48" s="57">
        <v>0</v>
      </c>
      <c r="BO48" s="51"/>
      <c r="BP48" s="59">
        <v>0</v>
      </c>
      <c r="BQ48" s="51"/>
      <c r="BR48" s="70">
        <v>0</v>
      </c>
      <c r="BS48" s="63"/>
    </row>
    <row r="49" spans="1:71" s="65" customFormat="1">
      <c r="A49" s="16" t="s">
        <v>314</v>
      </c>
      <c r="B49" s="65" t="s">
        <v>315</v>
      </c>
      <c r="C49" s="65" t="s">
        <v>103</v>
      </c>
      <c r="D49" s="97" t="s">
        <v>394</v>
      </c>
      <c r="E49" s="67">
        <v>15362.7978810813</v>
      </c>
      <c r="F49" s="93"/>
      <c r="G49" s="69">
        <v>17116.125440746699</v>
      </c>
      <c r="H49" s="93"/>
      <c r="I49" s="70">
        <v>-1753.3275596653984</v>
      </c>
      <c r="J49" s="103"/>
      <c r="K49" s="67">
        <v>-26205.872844797701</v>
      </c>
      <c r="L49" s="68"/>
      <c r="M49" s="69">
        <v>-27176.417556148299</v>
      </c>
      <c r="N49" s="51"/>
      <c r="O49" s="70">
        <v>970.54471135059794</v>
      </c>
      <c r="P49" s="53"/>
      <c r="Q49" s="67">
        <v>-10931.3126842733</v>
      </c>
      <c r="R49" s="51"/>
      <c r="S49" s="69">
        <v>-9989.2038554676292</v>
      </c>
      <c r="T49" s="51"/>
      <c r="U49" s="70">
        <v>-942.10882880567078</v>
      </c>
      <c r="V49" s="25"/>
      <c r="W49" s="67">
        <v>-144.995614786716</v>
      </c>
      <c r="X49" s="51"/>
      <c r="Y49" s="69">
        <v>-142.10962304026299</v>
      </c>
      <c r="Z49" s="51"/>
      <c r="AA49" s="70">
        <v>-2.8859917464530156</v>
      </c>
      <c r="AB49" s="53"/>
      <c r="AC49" s="67">
        <v>0</v>
      </c>
      <c r="AD49" s="51"/>
      <c r="AE49" s="69">
        <v>0</v>
      </c>
      <c r="AF49" s="51"/>
      <c r="AG49" s="70">
        <v>0</v>
      </c>
      <c r="AH49" s="53"/>
      <c r="AI49" s="67">
        <v>205.81545924173199</v>
      </c>
      <c r="AJ49" s="51"/>
      <c r="AK49" s="69">
        <v>210.52893022919599</v>
      </c>
      <c r="AL49" s="51"/>
      <c r="AM49" s="70">
        <v>-4.7134709874640066</v>
      </c>
      <c r="AN49" s="53"/>
      <c r="AO49" s="67">
        <v>-1288.53767790285</v>
      </c>
      <c r="AP49" s="51"/>
      <c r="AQ49" s="69">
        <v>-1442.89767585923</v>
      </c>
      <c r="AR49" s="51"/>
      <c r="AS49" s="70">
        <v>154.35999795638008</v>
      </c>
      <c r="AT49" s="53"/>
      <c r="AU49" s="67">
        <v>-1227.717833447834</v>
      </c>
      <c r="AV49" s="51"/>
      <c r="AW49" s="69">
        <v>-1374.478368670297</v>
      </c>
      <c r="AX49" s="51"/>
      <c r="AY49" s="70">
        <v>146.76053522246298</v>
      </c>
      <c r="BA49" s="67">
        <v>-9642.7750063704498</v>
      </c>
      <c r="BB49" s="51"/>
      <c r="BC49" s="69">
        <v>-8546.3061796083985</v>
      </c>
      <c r="BD49" s="51"/>
      <c r="BE49" s="70">
        <v>-1096.4688267620513</v>
      </c>
      <c r="BG49" s="67">
        <v>-904.48932474220101</v>
      </c>
      <c r="BH49" s="51"/>
      <c r="BI49" s="69">
        <v>-1061.7541536439301</v>
      </c>
      <c r="BJ49" s="51"/>
      <c r="BK49" s="70">
        <v>157.26482890172906</v>
      </c>
      <c r="BL49" s="53"/>
      <c r="BN49" s="67">
        <v>-384.04835316065203</v>
      </c>
      <c r="BO49" s="51"/>
      <c r="BP49" s="69">
        <v>-381.14352221529998</v>
      </c>
      <c r="BQ49" s="51"/>
      <c r="BR49" s="70">
        <v>-2.904830945352046</v>
      </c>
      <c r="BS49" s="53"/>
    </row>
    <row r="50" spans="1:71" s="75" customFormat="1" ht="14.4" outlineLevel="1">
      <c r="A50" s="65" t="s">
        <v>316</v>
      </c>
      <c r="B50" s="65" t="s">
        <v>317</v>
      </c>
      <c r="C50" s="65" t="s">
        <v>318</v>
      </c>
      <c r="D50" s="74" t="s">
        <v>319</v>
      </c>
      <c r="E50" s="104">
        <v>11653.6879775125</v>
      </c>
      <c r="F50" s="105"/>
      <c r="G50" s="106">
        <v>12886.0429507184</v>
      </c>
      <c r="H50" s="107"/>
      <c r="I50" s="80">
        <v>-1232.3549732059</v>
      </c>
      <c r="J50" s="108"/>
      <c r="K50" s="104">
        <v>-19815.299956159699</v>
      </c>
      <c r="L50" s="109"/>
      <c r="M50" s="106">
        <v>-20487.1638522789</v>
      </c>
      <c r="N50" s="82"/>
      <c r="O50" s="110">
        <v>671.86389611920094</v>
      </c>
      <c r="P50" s="83"/>
      <c r="Q50" s="104">
        <v>-8374.2050327501092</v>
      </c>
      <c r="R50" s="111"/>
      <c r="S50" s="106">
        <v>-7811.9923896830896</v>
      </c>
      <c r="T50" s="82"/>
      <c r="U50" s="96">
        <v>-562.2126430670196</v>
      </c>
      <c r="V50" s="25"/>
      <c r="W50" s="77">
        <v>0</v>
      </c>
      <c r="X50" s="82"/>
      <c r="Y50" s="79">
        <v>0</v>
      </c>
      <c r="Z50" s="82"/>
      <c r="AA50" s="80">
        <v>0</v>
      </c>
      <c r="AB50" s="83"/>
      <c r="AC50" s="77">
        <v>0</v>
      </c>
      <c r="AD50" s="82"/>
      <c r="AE50" s="79">
        <v>0</v>
      </c>
      <c r="AF50" s="82"/>
      <c r="AG50" s="80">
        <v>0</v>
      </c>
      <c r="AH50" s="83"/>
      <c r="AI50" s="77">
        <v>0</v>
      </c>
      <c r="AJ50" s="82"/>
      <c r="AK50" s="79">
        <v>0</v>
      </c>
      <c r="AL50" s="82"/>
      <c r="AM50" s="80">
        <v>0</v>
      </c>
      <c r="AN50" s="83"/>
      <c r="AO50" s="77">
        <v>-833.88</v>
      </c>
      <c r="AP50" s="82"/>
      <c r="AQ50" s="79">
        <v>-934.62900000000002</v>
      </c>
      <c r="AR50" s="82"/>
      <c r="AS50" s="80">
        <v>100.74900000000002</v>
      </c>
      <c r="AT50" s="83"/>
      <c r="AU50" s="77">
        <v>-833.88</v>
      </c>
      <c r="AV50" s="82"/>
      <c r="AW50" s="79">
        <v>-934.62900000000002</v>
      </c>
      <c r="AX50" s="82"/>
      <c r="AY50" s="80">
        <v>100.74900000000002</v>
      </c>
      <c r="BA50" s="77">
        <v>-7540.3250327501091</v>
      </c>
      <c r="BB50" s="82"/>
      <c r="BC50" s="79">
        <v>-6877.3633896830897</v>
      </c>
      <c r="BD50" s="82"/>
      <c r="BE50" s="96">
        <v>-662.96164306701939</v>
      </c>
      <c r="BG50" s="77">
        <v>-585.35</v>
      </c>
      <c r="BH50" s="82"/>
      <c r="BI50" s="79">
        <v>-687.755</v>
      </c>
      <c r="BJ50" s="82"/>
      <c r="BK50" s="80">
        <v>102.40499999999997</v>
      </c>
      <c r="BL50" s="83"/>
      <c r="BN50" s="77">
        <v>-248.53</v>
      </c>
      <c r="BO50" s="82"/>
      <c r="BP50" s="79">
        <v>-246.874</v>
      </c>
      <c r="BQ50" s="82"/>
      <c r="BR50" s="80">
        <v>-1.6560000000000059</v>
      </c>
      <c r="BS50" s="83"/>
    </row>
    <row r="51" spans="1:71" s="75" customFormat="1" ht="14.4">
      <c r="A51" s="65" t="s">
        <v>320</v>
      </c>
      <c r="B51" s="65" t="s">
        <v>317</v>
      </c>
      <c r="C51" s="65" t="s">
        <v>103</v>
      </c>
      <c r="D51" s="74" t="s">
        <v>321</v>
      </c>
      <c r="E51" s="104">
        <v>3709.1099035687898</v>
      </c>
      <c r="F51" s="105"/>
      <c r="G51" s="106">
        <v>4230.0824900283696</v>
      </c>
      <c r="H51" s="107"/>
      <c r="I51" s="110">
        <v>-520.97258645957982</v>
      </c>
      <c r="J51" s="108"/>
      <c r="K51" s="104">
        <v>-6390.5728886379502</v>
      </c>
      <c r="L51" s="109"/>
      <c r="M51" s="106">
        <v>-6689.25370386945</v>
      </c>
      <c r="N51" s="82"/>
      <c r="O51" s="110">
        <v>298.68081523149976</v>
      </c>
      <c r="P51" s="83"/>
      <c r="Q51" s="104">
        <v>-2557.1076515231598</v>
      </c>
      <c r="R51" s="111"/>
      <c r="S51" s="106">
        <v>-2177.21146578454</v>
      </c>
      <c r="T51" s="82"/>
      <c r="U51" s="96">
        <v>-379.89618573861981</v>
      </c>
      <c r="V51" s="25"/>
      <c r="W51" s="77"/>
      <c r="X51" s="82"/>
      <c r="Y51" s="79"/>
      <c r="Z51" s="82"/>
      <c r="AA51" s="80"/>
      <c r="AB51" s="83"/>
      <c r="AC51" s="77"/>
      <c r="AD51" s="82"/>
      <c r="AE51" s="79"/>
      <c r="AF51" s="82"/>
      <c r="AG51" s="80"/>
      <c r="AH51" s="83"/>
      <c r="AI51" s="77"/>
      <c r="AJ51" s="82"/>
      <c r="AK51" s="79"/>
      <c r="AL51" s="82"/>
      <c r="AM51" s="80"/>
      <c r="AN51" s="83"/>
      <c r="AO51" s="77"/>
      <c r="AP51" s="82"/>
      <c r="AQ51" s="79"/>
      <c r="AR51" s="82"/>
      <c r="AS51" s="80"/>
      <c r="AT51" s="83"/>
      <c r="AU51" s="77"/>
      <c r="AV51" s="82"/>
      <c r="AW51" s="79"/>
      <c r="AX51" s="82"/>
      <c r="AY51" s="80"/>
      <c r="BA51" s="77"/>
      <c r="BB51" s="82"/>
      <c r="BC51" s="79"/>
      <c r="BD51" s="82"/>
      <c r="BE51" s="96"/>
      <c r="BG51" s="77"/>
      <c r="BH51" s="82"/>
      <c r="BI51" s="79"/>
      <c r="BJ51" s="82"/>
      <c r="BK51" s="80"/>
      <c r="BL51" s="83"/>
      <c r="BN51" s="77"/>
      <c r="BO51" s="82"/>
      <c r="BP51" s="79"/>
      <c r="BQ51" s="82"/>
      <c r="BR51" s="80"/>
      <c r="BS51" s="83"/>
    </row>
    <row r="52" spans="1:71" s="75" customFormat="1" ht="14.4" hidden="1" outlineLevel="1">
      <c r="A52" s="16" t="s">
        <v>314</v>
      </c>
      <c r="B52" s="65" t="s">
        <v>315</v>
      </c>
      <c r="C52" s="65" t="s">
        <v>103</v>
      </c>
      <c r="D52" s="112" t="s">
        <v>322</v>
      </c>
      <c r="E52" s="113">
        <v>13339.55</v>
      </c>
      <c r="F52" s="114"/>
      <c r="G52" s="79">
        <v>14839.796</v>
      </c>
      <c r="H52" s="115"/>
      <c r="I52" s="116">
        <v>-1500.246000000001</v>
      </c>
      <c r="J52" s="117"/>
      <c r="K52" s="113">
        <v>-22754.615000000002</v>
      </c>
      <c r="L52" s="118"/>
      <c r="M52" s="119">
        <v>-23562.136999999999</v>
      </c>
      <c r="N52" s="82"/>
      <c r="O52" s="90">
        <v>807.52199999999721</v>
      </c>
      <c r="P52" s="83"/>
      <c r="Q52" s="113">
        <v>-9491.6820000000007</v>
      </c>
      <c r="R52" s="111"/>
      <c r="S52" s="119">
        <v>-8660.7070000000003</v>
      </c>
      <c r="T52" s="82"/>
      <c r="U52" s="70">
        <v>-830.97500000000036</v>
      </c>
      <c r="V52" s="25"/>
      <c r="W52" s="77"/>
      <c r="X52" s="82"/>
      <c r="Y52" s="79"/>
      <c r="Z52" s="82"/>
      <c r="AA52" s="80"/>
      <c r="AB52" s="83"/>
      <c r="AC52" s="77"/>
      <c r="AD52" s="82"/>
      <c r="AE52" s="79"/>
      <c r="AF52" s="82"/>
      <c r="AG52" s="80"/>
      <c r="AH52" s="83"/>
      <c r="AI52" s="77"/>
      <c r="AJ52" s="82"/>
      <c r="AK52" s="79"/>
      <c r="AL52" s="82"/>
      <c r="AM52" s="80"/>
      <c r="AN52" s="83"/>
      <c r="AO52" s="77"/>
      <c r="AP52" s="82"/>
      <c r="AQ52" s="79"/>
      <c r="AR52" s="82"/>
      <c r="AS52" s="80"/>
      <c r="AT52" s="83"/>
      <c r="AU52" s="77"/>
      <c r="AV52" s="82"/>
      <c r="AW52" s="79"/>
      <c r="AX52" s="82"/>
      <c r="AY52" s="80"/>
      <c r="BA52" s="77"/>
      <c r="BB52" s="82"/>
      <c r="BC52" s="79"/>
      <c r="BD52" s="82"/>
      <c r="BE52" s="96"/>
      <c r="BG52" s="77"/>
      <c r="BH52" s="82"/>
      <c r="BI52" s="79"/>
      <c r="BJ52" s="82"/>
      <c r="BK52" s="80"/>
      <c r="BL52" s="83"/>
      <c r="BN52" s="77"/>
      <c r="BO52" s="82"/>
      <c r="BP52" s="79"/>
      <c r="BQ52" s="82"/>
      <c r="BR52" s="80"/>
      <c r="BS52" s="83"/>
    </row>
    <row r="53" spans="1:71" s="75" customFormat="1" ht="14.4" hidden="1" outlineLevel="1">
      <c r="A53" s="65" t="s">
        <v>316</v>
      </c>
      <c r="B53" s="65" t="s">
        <v>317</v>
      </c>
      <c r="C53" s="65"/>
      <c r="D53" s="120" t="s">
        <v>323</v>
      </c>
      <c r="E53" s="77">
        <v>10118.922</v>
      </c>
      <c r="F53" s="107"/>
      <c r="G53" s="79">
        <v>11172.286</v>
      </c>
      <c r="H53" s="107"/>
      <c r="I53" s="80">
        <v>-1053.3639999999996</v>
      </c>
      <c r="J53" s="108"/>
      <c r="K53" s="77">
        <v>-17205.667000000001</v>
      </c>
      <c r="L53" s="78"/>
      <c r="M53" s="79">
        <v>-17762.508999999998</v>
      </c>
      <c r="N53" s="82"/>
      <c r="O53" s="121">
        <v>556.84199999999691</v>
      </c>
      <c r="P53" s="83"/>
      <c r="Q53" s="77">
        <v>-7271.34</v>
      </c>
      <c r="R53" s="82"/>
      <c r="S53" s="79">
        <v>-6773.0499999999902</v>
      </c>
      <c r="T53" s="82"/>
      <c r="U53" s="96">
        <v>-498.29000000000997</v>
      </c>
      <c r="V53" s="25"/>
      <c r="W53" s="77"/>
      <c r="X53" s="82"/>
      <c r="Y53" s="79"/>
      <c r="Z53" s="82"/>
      <c r="AA53" s="80"/>
      <c r="AB53" s="83"/>
      <c r="AC53" s="77"/>
      <c r="AD53" s="82"/>
      <c r="AE53" s="79"/>
      <c r="AF53" s="82"/>
      <c r="AG53" s="80"/>
      <c r="AH53" s="83"/>
      <c r="AI53" s="77"/>
      <c r="AJ53" s="82"/>
      <c r="AK53" s="79"/>
      <c r="AL53" s="82"/>
      <c r="AM53" s="80"/>
      <c r="AN53" s="83"/>
      <c r="AO53" s="77"/>
      <c r="AP53" s="82"/>
      <c r="AQ53" s="79"/>
      <c r="AR53" s="82"/>
      <c r="AS53" s="80"/>
      <c r="AT53" s="83"/>
      <c r="AU53" s="77"/>
      <c r="AV53" s="82"/>
      <c r="AW53" s="79"/>
      <c r="AX53" s="82"/>
      <c r="AY53" s="80"/>
      <c r="BA53" s="77"/>
      <c r="BB53" s="82"/>
      <c r="BC53" s="79"/>
      <c r="BD53" s="82"/>
      <c r="BE53" s="96"/>
      <c r="BG53" s="77"/>
      <c r="BH53" s="82"/>
      <c r="BI53" s="79"/>
      <c r="BJ53" s="82"/>
      <c r="BK53" s="80"/>
      <c r="BL53" s="83"/>
      <c r="BN53" s="77"/>
      <c r="BO53" s="82"/>
      <c r="BP53" s="79"/>
      <c r="BQ53" s="82"/>
      <c r="BR53" s="80"/>
      <c r="BS53" s="83"/>
    </row>
    <row r="54" spans="1:71" s="75" customFormat="1" ht="14.4" hidden="1" outlineLevel="1">
      <c r="A54" s="65" t="s">
        <v>320</v>
      </c>
      <c r="B54" s="65" t="s">
        <v>317</v>
      </c>
      <c r="C54" s="65" t="s">
        <v>103</v>
      </c>
      <c r="D54" s="122" t="s">
        <v>324</v>
      </c>
      <c r="E54" s="77">
        <v>3220.6280000000002</v>
      </c>
      <c r="F54" s="107"/>
      <c r="G54" s="79">
        <v>3667.51</v>
      </c>
      <c r="H54" s="107"/>
      <c r="I54" s="80">
        <v>-446.88200000000006</v>
      </c>
      <c r="J54" s="108"/>
      <c r="K54" s="77">
        <v>-5548.9480000000003</v>
      </c>
      <c r="L54" s="78"/>
      <c r="M54" s="79">
        <v>-5799.6279999999997</v>
      </c>
      <c r="N54" s="82"/>
      <c r="O54" s="121">
        <v>250.67999999999938</v>
      </c>
      <c r="P54" s="83"/>
      <c r="Q54" s="77">
        <v>-2220.3420000000001</v>
      </c>
      <c r="R54" s="82"/>
      <c r="S54" s="79">
        <v>-1887.6569999999999</v>
      </c>
      <c r="T54" s="82"/>
      <c r="U54" s="96">
        <v>-332.68500000000017</v>
      </c>
      <c r="V54" s="25"/>
      <c r="W54" s="77"/>
      <c r="X54" s="82"/>
      <c r="Y54" s="79"/>
      <c r="Z54" s="82"/>
      <c r="AA54" s="80"/>
      <c r="AB54" s="83"/>
      <c r="AC54" s="77"/>
      <c r="AD54" s="82"/>
      <c r="AE54" s="79"/>
      <c r="AF54" s="82"/>
      <c r="AG54" s="80"/>
      <c r="AH54" s="83"/>
      <c r="AI54" s="77"/>
      <c r="AJ54" s="82"/>
      <c r="AK54" s="79"/>
      <c r="AL54" s="82"/>
      <c r="AM54" s="80"/>
      <c r="AN54" s="83"/>
      <c r="AO54" s="77"/>
      <c r="AP54" s="82"/>
      <c r="AQ54" s="79"/>
      <c r="AR54" s="82"/>
      <c r="AS54" s="80"/>
      <c r="AT54" s="83"/>
      <c r="AU54" s="77"/>
      <c r="AV54" s="82"/>
      <c r="AW54" s="79"/>
      <c r="AX54" s="82"/>
      <c r="AY54" s="80"/>
      <c r="BA54" s="77"/>
      <c r="BB54" s="82"/>
      <c r="BC54" s="79"/>
      <c r="BD54" s="82"/>
      <c r="BE54" s="96"/>
      <c r="BG54" s="77"/>
      <c r="BH54" s="82"/>
      <c r="BI54" s="79"/>
      <c r="BJ54" s="82"/>
      <c r="BK54" s="80"/>
      <c r="BL54" s="83"/>
      <c r="BN54" s="77"/>
      <c r="BO54" s="82"/>
      <c r="BP54" s="79"/>
      <c r="BQ54" s="82"/>
      <c r="BR54" s="80"/>
      <c r="BS54" s="83"/>
    </row>
    <row r="55" spans="1:71" s="65" customFormat="1" collapsed="1">
      <c r="A55" s="16" t="s">
        <v>313</v>
      </c>
      <c r="B55" s="65" t="s">
        <v>325</v>
      </c>
      <c r="C55" s="65" t="s">
        <v>262</v>
      </c>
      <c r="D55" s="97" t="s">
        <v>390</v>
      </c>
      <c r="E55" s="67">
        <v>25752.536</v>
      </c>
      <c r="F55" s="93"/>
      <c r="G55" s="69">
        <v>26491.339</v>
      </c>
      <c r="H55" s="93"/>
      <c r="I55" s="70">
        <v>-738.80299999999988</v>
      </c>
      <c r="J55" s="103"/>
      <c r="K55" s="67">
        <v>-30349.721000000001</v>
      </c>
      <c r="L55" s="68"/>
      <c r="M55" s="69">
        <v>-30744.634999999998</v>
      </c>
      <c r="N55" s="51"/>
      <c r="O55" s="70">
        <v>394.91399999999703</v>
      </c>
      <c r="P55" s="53"/>
      <c r="Q55" s="67">
        <v>-4724.692</v>
      </c>
      <c r="R55" s="51"/>
      <c r="S55" s="69">
        <v>-4328.2960000000003</v>
      </c>
      <c r="T55" s="51"/>
      <c r="U55" s="70">
        <v>-396.39599999999973</v>
      </c>
      <c r="V55" s="25"/>
      <c r="W55" s="67">
        <v>-218.08500000000001</v>
      </c>
      <c r="X55" s="51"/>
      <c r="Y55" s="69">
        <v>-145.417</v>
      </c>
      <c r="Z55" s="51"/>
      <c r="AA55" s="70">
        <v>-72.668000000000006</v>
      </c>
      <c r="AB55" s="53"/>
      <c r="AC55" s="67">
        <v>0</v>
      </c>
      <c r="AD55" s="51"/>
      <c r="AE55" s="69">
        <v>0</v>
      </c>
      <c r="AF55" s="51"/>
      <c r="AG55" s="70">
        <v>0</v>
      </c>
      <c r="AH55" s="53"/>
      <c r="AI55" s="67">
        <v>-309.39499999999998</v>
      </c>
      <c r="AJ55" s="51"/>
      <c r="AK55" s="69">
        <v>-206.13499999999999</v>
      </c>
      <c r="AL55" s="51"/>
      <c r="AM55" s="70">
        <v>-103.25999999999999</v>
      </c>
      <c r="AN55" s="53"/>
      <c r="AO55" s="67">
        <v>-6598.0330000000004</v>
      </c>
      <c r="AP55" s="51"/>
      <c r="AQ55" s="69">
        <v>-6601.72</v>
      </c>
      <c r="AR55" s="51"/>
      <c r="AS55" s="70">
        <v>3.6869999999998981</v>
      </c>
      <c r="AT55" s="53"/>
      <c r="AU55" s="67">
        <v>-7125.5130000000008</v>
      </c>
      <c r="AV55" s="51"/>
      <c r="AW55" s="69">
        <v>-6953.2719999999999</v>
      </c>
      <c r="AX55" s="51"/>
      <c r="AY55" s="70">
        <v>-172.24100000000089</v>
      </c>
      <c r="BA55" s="67">
        <v>1873.3410000000003</v>
      </c>
      <c r="BB55" s="51"/>
      <c r="BC55" s="69">
        <v>2273.424</v>
      </c>
      <c r="BD55" s="51"/>
      <c r="BE55" s="70">
        <v>-400.08299999999963</v>
      </c>
      <c r="BG55" s="67">
        <v>-6290.3980000000001</v>
      </c>
      <c r="BH55" s="51"/>
      <c r="BI55" s="69">
        <v>-6290.348</v>
      </c>
      <c r="BJ55" s="51"/>
      <c r="BK55" s="70">
        <v>-5.0000000000181899E-2</v>
      </c>
      <c r="BL55" s="53"/>
      <c r="BN55" s="67">
        <v>-307.63499999999999</v>
      </c>
      <c r="BO55" s="51"/>
      <c r="BP55" s="69">
        <v>-311.37200000000001</v>
      </c>
      <c r="BQ55" s="51"/>
      <c r="BR55" s="70">
        <v>3.7370000000000232</v>
      </c>
      <c r="BS55" s="53"/>
    </row>
    <row r="56" spans="1:71" s="123" customFormat="1" ht="14.4" hidden="1" outlineLevel="1">
      <c r="A56" s="123" t="s">
        <v>326</v>
      </c>
      <c r="B56" s="123" t="s">
        <v>267</v>
      </c>
      <c r="D56" s="124" t="s">
        <v>399</v>
      </c>
      <c r="E56" s="125">
        <v>0</v>
      </c>
      <c r="F56" s="126"/>
      <c r="G56" s="127">
        <v>1042.088</v>
      </c>
      <c r="H56" s="128"/>
      <c r="I56" s="96">
        <v>-1042.088</v>
      </c>
      <c r="J56" s="129"/>
      <c r="K56" s="125">
        <v>0</v>
      </c>
      <c r="L56" s="126"/>
      <c r="M56" s="127">
        <v>-1283.1600000000001</v>
      </c>
      <c r="N56" s="128"/>
      <c r="O56" s="70">
        <v>1283.1600000000001</v>
      </c>
      <c r="P56" s="129"/>
      <c r="Q56" s="125">
        <v>0</v>
      </c>
      <c r="R56" s="126"/>
      <c r="S56" s="127">
        <v>-241.072</v>
      </c>
      <c r="T56" s="128"/>
      <c r="U56" s="96">
        <v>241.072</v>
      </c>
      <c r="V56" s="25"/>
      <c r="W56" s="125">
        <v>0</v>
      </c>
      <c r="X56" s="126"/>
      <c r="Y56" s="127">
        <v>0</v>
      </c>
      <c r="Z56" s="128"/>
      <c r="AA56" s="96">
        <v>0</v>
      </c>
      <c r="AB56" s="129"/>
      <c r="AC56" s="125">
        <v>0</v>
      </c>
      <c r="AD56" s="126"/>
      <c r="AE56" s="127">
        <v>0</v>
      </c>
      <c r="AF56" s="128"/>
      <c r="AG56" s="96">
        <v>0</v>
      </c>
      <c r="AH56" s="129"/>
      <c r="AI56" s="125">
        <v>0</v>
      </c>
      <c r="AJ56" s="126"/>
      <c r="AK56" s="127">
        <v>0</v>
      </c>
      <c r="AL56" s="128"/>
      <c r="AM56" s="96">
        <v>0</v>
      </c>
      <c r="AN56" s="129"/>
      <c r="AO56" s="125">
        <v>0</v>
      </c>
      <c r="AP56" s="126"/>
      <c r="AQ56" s="127">
        <v>-275.13299999999998</v>
      </c>
      <c r="AR56" s="128"/>
      <c r="AS56" s="96">
        <v>275.13299999999998</v>
      </c>
      <c r="AT56" s="129"/>
      <c r="AU56" s="125">
        <v>0</v>
      </c>
      <c r="AV56" s="126"/>
      <c r="AW56" s="127">
        <v>-275.13299999999998</v>
      </c>
      <c r="AX56" s="128"/>
      <c r="AY56" s="96">
        <v>275.13299999999998</v>
      </c>
      <c r="BA56" s="125">
        <v>0</v>
      </c>
      <c r="BB56" s="126"/>
      <c r="BC56" s="127">
        <v>34.060999999999979</v>
      </c>
      <c r="BD56" s="128"/>
      <c r="BE56" s="96">
        <v>-34.060999999999979</v>
      </c>
      <c r="BG56" s="125">
        <v>0</v>
      </c>
      <c r="BH56" s="126"/>
      <c r="BI56" s="127">
        <v>-275.13299999999998</v>
      </c>
      <c r="BJ56" s="128"/>
      <c r="BK56" s="96">
        <v>275.13299999999998</v>
      </c>
      <c r="BL56" s="129"/>
      <c r="BN56" s="125">
        <v>0</v>
      </c>
      <c r="BO56" s="126"/>
      <c r="BP56" s="127">
        <v>0</v>
      </c>
      <c r="BQ56" s="128"/>
      <c r="BR56" s="96">
        <v>0</v>
      </c>
      <c r="BS56" s="129"/>
    </row>
    <row r="57" spans="1:71" s="123" customFormat="1" ht="14.4" hidden="1" outlineLevel="1">
      <c r="A57" s="123" t="s">
        <v>327</v>
      </c>
      <c r="B57" s="123" t="s">
        <v>328</v>
      </c>
      <c r="D57" s="124" t="s">
        <v>400</v>
      </c>
      <c r="E57" s="125">
        <v>0</v>
      </c>
      <c r="F57" s="126"/>
      <c r="G57" s="127">
        <v>239.75399999999999</v>
      </c>
      <c r="H57" s="128"/>
      <c r="I57" s="96">
        <v>-239.75399999999999</v>
      </c>
      <c r="J57" s="129"/>
      <c r="K57" s="125">
        <v>31.524999999999999</v>
      </c>
      <c r="L57" s="126"/>
      <c r="M57" s="127">
        <v>-309.33499999999998</v>
      </c>
      <c r="N57" s="128"/>
      <c r="O57" s="70">
        <v>340.85999999999996</v>
      </c>
      <c r="P57" s="129"/>
      <c r="Q57" s="125">
        <v>31.524999999999999</v>
      </c>
      <c r="R57" s="126"/>
      <c r="S57" s="127">
        <v>-69.581000000000103</v>
      </c>
      <c r="T57" s="128"/>
      <c r="U57" s="96">
        <v>101.10600000000011</v>
      </c>
      <c r="V57" s="25"/>
      <c r="W57" s="125">
        <v>0</v>
      </c>
      <c r="X57" s="126"/>
      <c r="Y57" s="127">
        <v>0</v>
      </c>
      <c r="Z57" s="128"/>
      <c r="AA57" s="96">
        <v>0</v>
      </c>
      <c r="AB57" s="129"/>
      <c r="AC57" s="125">
        <v>0</v>
      </c>
      <c r="AD57" s="126"/>
      <c r="AE57" s="127">
        <v>0</v>
      </c>
      <c r="AF57" s="128"/>
      <c r="AG57" s="96">
        <v>0</v>
      </c>
      <c r="AH57" s="129"/>
      <c r="AI57" s="125">
        <v>0</v>
      </c>
      <c r="AJ57" s="126"/>
      <c r="AK57" s="127">
        <v>0</v>
      </c>
      <c r="AL57" s="128"/>
      <c r="AM57" s="96">
        <v>0</v>
      </c>
      <c r="AN57" s="129"/>
      <c r="AO57" s="125">
        <v>0</v>
      </c>
      <c r="AP57" s="126"/>
      <c r="AQ57" s="127">
        <v>-54.262999999999998</v>
      </c>
      <c r="AR57" s="128"/>
      <c r="AS57" s="96">
        <v>54.262999999999998</v>
      </c>
      <c r="AT57" s="129"/>
      <c r="AU57" s="125">
        <v>0</v>
      </c>
      <c r="AV57" s="126"/>
      <c r="AW57" s="127">
        <v>-54.262999999999998</v>
      </c>
      <c r="AX57" s="128"/>
      <c r="AY57" s="96">
        <v>54.262999999999998</v>
      </c>
      <c r="BA57" s="125">
        <v>31.524999999999999</v>
      </c>
      <c r="BB57" s="126"/>
      <c r="BC57" s="127">
        <v>-15.318000000000104</v>
      </c>
      <c r="BD57" s="128"/>
      <c r="BE57" s="96">
        <v>46.843000000000103</v>
      </c>
      <c r="BG57" s="125">
        <v>0</v>
      </c>
      <c r="BH57" s="126"/>
      <c r="BI57" s="127">
        <v>-54.262999999999998</v>
      </c>
      <c r="BJ57" s="128"/>
      <c r="BK57" s="96">
        <v>54.262999999999998</v>
      </c>
      <c r="BL57" s="129"/>
      <c r="BN57" s="125">
        <v>0</v>
      </c>
      <c r="BO57" s="126"/>
      <c r="BP57" s="127">
        <v>0</v>
      </c>
      <c r="BQ57" s="128"/>
      <c r="BR57" s="96">
        <v>0</v>
      </c>
      <c r="BS57" s="129"/>
    </row>
    <row r="58" spans="1:71" s="65" customFormat="1" collapsed="1">
      <c r="A58" s="65" t="s">
        <v>313</v>
      </c>
      <c r="B58" s="65" t="s">
        <v>329</v>
      </c>
      <c r="C58" s="65" t="s">
        <v>283</v>
      </c>
      <c r="D58" s="97" t="s">
        <v>392</v>
      </c>
      <c r="E58" s="67">
        <v>21503.991999999998</v>
      </c>
      <c r="F58" s="68"/>
      <c r="G58" s="69">
        <v>17276.575000000001</v>
      </c>
      <c r="H58" s="93"/>
      <c r="I58" s="70">
        <v>4227.4169999999976</v>
      </c>
      <c r="J58" s="103"/>
      <c r="K58" s="67">
        <v>-22361.018</v>
      </c>
      <c r="L58" s="68"/>
      <c r="M58" s="69">
        <v>-21612.791000000001</v>
      </c>
      <c r="N58" s="51"/>
      <c r="O58" s="70">
        <v>-748.22699999999895</v>
      </c>
      <c r="P58" s="53"/>
      <c r="Q58" s="67">
        <v>-1198.962</v>
      </c>
      <c r="R58" s="51"/>
      <c r="S58" s="69">
        <v>-4362.8029999999999</v>
      </c>
      <c r="T58" s="51"/>
      <c r="U58" s="70">
        <v>3163.8409999999999</v>
      </c>
      <c r="V58" s="25"/>
      <c r="W58" s="67">
        <v>-218</v>
      </c>
      <c r="X58" s="51"/>
      <c r="Y58" s="69">
        <v>-218.08500000000001</v>
      </c>
      <c r="Z58" s="51"/>
      <c r="AA58" s="70">
        <v>8.5000000000007958E-2</v>
      </c>
      <c r="AB58" s="53"/>
      <c r="AC58" s="67">
        <v>0</v>
      </c>
      <c r="AD58" s="51"/>
      <c r="AE58" s="69">
        <v>0</v>
      </c>
      <c r="AF58" s="51"/>
      <c r="AG58" s="70">
        <v>0</v>
      </c>
      <c r="AH58" s="53"/>
      <c r="AI58" s="67">
        <v>-148</v>
      </c>
      <c r="AJ58" s="51"/>
      <c r="AK58" s="69">
        <v>-148.27199999999999</v>
      </c>
      <c r="AL58" s="51"/>
      <c r="AM58" s="70">
        <v>0.27199999999999136</v>
      </c>
      <c r="AN58" s="53"/>
      <c r="AO58" s="67">
        <v>-936.59</v>
      </c>
      <c r="AP58" s="51"/>
      <c r="AQ58" s="69">
        <v>-944.58500000000004</v>
      </c>
      <c r="AR58" s="51"/>
      <c r="AS58" s="70">
        <v>7.9950000000000045</v>
      </c>
      <c r="AT58" s="53"/>
      <c r="AU58" s="67">
        <v>-1302.5900000000001</v>
      </c>
      <c r="AV58" s="51"/>
      <c r="AW58" s="69">
        <v>-1310.942</v>
      </c>
      <c r="AX58" s="51"/>
      <c r="AY58" s="70">
        <v>8.3519999999998618</v>
      </c>
      <c r="BA58" s="67">
        <v>-262.37199999999996</v>
      </c>
      <c r="BB58" s="51"/>
      <c r="BC58" s="69">
        <v>-3418.2179999999998</v>
      </c>
      <c r="BD58" s="51"/>
      <c r="BE58" s="70">
        <v>3155.846</v>
      </c>
      <c r="BG58" s="67">
        <v>-742.01400000000001</v>
      </c>
      <c r="BH58" s="51"/>
      <c r="BI58" s="69">
        <v>-742.01199999999994</v>
      </c>
      <c r="BJ58" s="51"/>
      <c r="BK58" s="70">
        <v>-2.0000000000663931E-3</v>
      </c>
      <c r="BL58" s="53"/>
      <c r="BN58" s="67">
        <v>-194.57599999999999</v>
      </c>
      <c r="BO58" s="51"/>
      <c r="BP58" s="69">
        <v>-202.57300000000001</v>
      </c>
      <c r="BQ58" s="51"/>
      <c r="BR58" s="70">
        <v>7.9970000000000141</v>
      </c>
      <c r="BS58" s="53"/>
    </row>
    <row r="59" spans="1:71" s="65" customFormat="1">
      <c r="D59" s="97" t="s">
        <v>401</v>
      </c>
      <c r="E59" s="67">
        <v>5461.9648180933427</v>
      </c>
      <c r="F59" s="68"/>
      <c r="G59" s="69">
        <v>6045.7861019282609</v>
      </c>
      <c r="H59" s="68"/>
      <c r="I59" s="70">
        <v>-583.82128383491818</v>
      </c>
      <c r="J59" s="71"/>
      <c r="K59" s="67">
        <v>-9903.9134620851619</v>
      </c>
      <c r="L59" s="68"/>
      <c r="M59" s="69">
        <v>-10242.48058715936</v>
      </c>
      <c r="N59" s="51"/>
      <c r="O59" s="70">
        <v>338.56712507419797</v>
      </c>
      <c r="P59" s="53"/>
      <c r="Q59" s="67">
        <v>-4475.3554181787049</v>
      </c>
      <c r="R59" s="51"/>
      <c r="S59" s="69">
        <v>-4231.3482601407877</v>
      </c>
      <c r="T59" s="51"/>
      <c r="U59" s="70">
        <v>-244.00715803791718</v>
      </c>
      <c r="V59" s="25"/>
      <c r="W59" s="67">
        <v>-47.59644712485597</v>
      </c>
      <c r="X59" s="51"/>
      <c r="Y59" s="69">
        <v>-51.169600768709714</v>
      </c>
      <c r="Z59" s="51"/>
      <c r="AA59" s="70">
        <v>3.5731536438537432</v>
      </c>
      <c r="AB59" s="53"/>
      <c r="AC59" s="67">
        <v>0</v>
      </c>
      <c r="AD59" s="51"/>
      <c r="AE59" s="69">
        <v>0</v>
      </c>
      <c r="AF59" s="51"/>
      <c r="AG59" s="70">
        <v>0</v>
      </c>
      <c r="AH59" s="53"/>
      <c r="AI59" s="67">
        <v>-54.639824791690664</v>
      </c>
      <c r="AJ59" s="51"/>
      <c r="AK59" s="69">
        <v>-54.454545025652081</v>
      </c>
      <c r="AL59" s="51"/>
      <c r="AM59" s="70">
        <v>-0.1852797660385832</v>
      </c>
      <c r="AN59" s="53"/>
      <c r="AO59" s="67">
        <v>-430.99213154400582</v>
      </c>
      <c r="AP59" s="51"/>
      <c r="AQ59" s="69">
        <v>-434.59131425412676</v>
      </c>
      <c r="AR59" s="51"/>
      <c r="AS59" s="70">
        <v>3.5991827101209424</v>
      </c>
      <c r="AT59" s="53"/>
      <c r="AU59" s="67">
        <v>-533.2284034605525</v>
      </c>
      <c r="AV59" s="51"/>
      <c r="AW59" s="69">
        <v>-540.21546004848858</v>
      </c>
      <c r="AX59" s="51"/>
      <c r="AY59" s="70">
        <v>6.9870565879360811</v>
      </c>
      <c r="BA59" s="67">
        <v>-4044.3632866346989</v>
      </c>
      <c r="BB59" s="51"/>
      <c r="BC59" s="69">
        <v>-3796.756945886661</v>
      </c>
      <c r="BD59" s="51"/>
      <c r="BE59" s="70">
        <v>-247.60634074803784</v>
      </c>
      <c r="BG59" s="67">
        <v>-371.58069180506862</v>
      </c>
      <c r="BH59" s="51"/>
      <c r="BI59" s="69">
        <v>-371.41642145130402</v>
      </c>
      <c r="BJ59" s="51"/>
      <c r="BK59" s="70">
        <v>-0.16427035376460708</v>
      </c>
      <c r="BL59" s="53"/>
      <c r="BN59" s="67">
        <v>-59.41143973893714</v>
      </c>
      <c r="BO59" s="51"/>
      <c r="BP59" s="69">
        <v>-63.174892802822825</v>
      </c>
      <c r="BQ59" s="51"/>
      <c r="BR59" s="70">
        <v>3.7634530638856845</v>
      </c>
      <c r="BS59" s="53"/>
    </row>
    <row r="60" spans="1:71" s="65" customFormat="1" outlineLevel="1">
      <c r="A60" s="65" t="s">
        <v>313</v>
      </c>
      <c r="B60" s="65" t="s">
        <v>280</v>
      </c>
      <c r="C60" s="65" t="s">
        <v>281</v>
      </c>
      <c r="D60" s="72" t="s">
        <v>391</v>
      </c>
      <c r="E60" s="67">
        <v>1419.6420000000001</v>
      </c>
      <c r="F60" s="68"/>
      <c r="G60" s="69">
        <v>1491.8720000000001</v>
      </c>
      <c r="H60" s="68"/>
      <c r="I60" s="70">
        <v>-72.230000000000018</v>
      </c>
      <c r="J60" s="71"/>
      <c r="K60" s="67">
        <v>-2517.165</v>
      </c>
      <c r="L60" s="68"/>
      <c r="M60" s="69">
        <v>-2588.0459999999998</v>
      </c>
      <c r="N60" s="51"/>
      <c r="O60" s="70">
        <v>70.880999999999858</v>
      </c>
      <c r="P60" s="53"/>
      <c r="Q60" s="67">
        <v>-1187.182</v>
      </c>
      <c r="R60" s="51"/>
      <c r="S60" s="69">
        <v>-1131.0340000000001</v>
      </c>
      <c r="T60" s="51"/>
      <c r="U60" s="70">
        <v>-56.147999999999911</v>
      </c>
      <c r="V60" s="25"/>
      <c r="W60" s="67">
        <v>-16.72</v>
      </c>
      <c r="X60" s="51"/>
      <c r="Y60" s="69">
        <v>-17.047999999999998</v>
      </c>
      <c r="Z60" s="51"/>
      <c r="AA60" s="70">
        <v>0.3279999999999994</v>
      </c>
      <c r="AB60" s="53"/>
      <c r="AC60" s="67">
        <v>0</v>
      </c>
      <c r="AD60" s="51"/>
      <c r="AE60" s="69">
        <v>0</v>
      </c>
      <c r="AF60" s="51"/>
      <c r="AG60" s="70">
        <v>0</v>
      </c>
      <c r="AH60" s="53"/>
      <c r="AI60" s="67">
        <v>-23.71</v>
      </c>
      <c r="AJ60" s="51"/>
      <c r="AK60" s="69">
        <v>-24.2</v>
      </c>
      <c r="AL60" s="51"/>
      <c r="AM60" s="70">
        <v>0.48999999999999844</v>
      </c>
      <c r="AN60" s="53"/>
      <c r="AO60" s="67">
        <v>-118.922</v>
      </c>
      <c r="AP60" s="51"/>
      <c r="AQ60" s="69">
        <v>-120.729</v>
      </c>
      <c r="AR60" s="51"/>
      <c r="AS60" s="70">
        <v>1.8070000000000022</v>
      </c>
      <c r="AT60" s="53"/>
      <c r="AU60" s="67">
        <v>-159.352</v>
      </c>
      <c r="AV60" s="51"/>
      <c r="AW60" s="69">
        <v>-161.977</v>
      </c>
      <c r="AX60" s="51"/>
      <c r="AY60" s="70">
        <v>2.625</v>
      </c>
      <c r="BA60" s="67">
        <v>-1068.26</v>
      </c>
      <c r="BB60" s="51"/>
      <c r="BC60" s="69">
        <v>-1010.3050000000001</v>
      </c>
      <c r="BD60" s="51"/>
      <c r="BE60" s="70">
        <v>-57.954999999999927</v>
      </c>
      <c r="BG60" s="67">
        <v>-93.99</v>
      </c>
      <c r="BH60" s="51"/>
      <c r="BI60" s="69">
        <v>-95.418000000000006</v>
      </c>
      <c r="BJ60" s="51"/>
      <c r="BK60" s="70">
        <v>1.4280000000000115</v>
      </c>
      <c r="BL60" s="53"/>
      <c r="BN60" s="67">
        <v>-24.931999999999999</v>
      </c>
      <c r="BO60" s="51"/>
      <c r="BP60" s="69">
        <v>-25.311</v>
      </c>
      <c r="BQ60" s="51"/>
      <c r="BR60" s="70">
        <v>0.37900000000000134</v>
      </c>
      <c r="BS60" s="53"/>
    </row>
    <row r="61" spans="1:71" s="65" customFormat="1" outlineLevel="1">
      <c r="A61" s="65" t="s">
        <v>313</v>
      </c>
      <c r="B61" s="65" t="s">
        <v>309</v>
      </c>
      <c r="C61" s="65" t="s">
        <v>310</v>
      </c>
      <c r="D61" s="72" t="s">
        <v>398</v>
      </c>
      <c r="E61" s="67">
        <v>1653</v>
      </c>
      <c r="F61" s="68"/>
      <c r="G61" s="69">
        <v>1407.5640000000001</v>
      </c>
      <c r="H61" s="68"/>
      <c r="I61" s="70">
        <v>245.43599999999992</v>
      </c>
      <c r="J61" s="71"/>
      <c r="K61" s="67">
        <v>-1574.8130000000001</v>
      </c>
      <c r="L61" s="68"/>
      <c r="M61" s="69">
        <v>-1594.5809999999999</v>
      </c>
      <c r="N61" s="51"/>
      <c r="O61" s="70">
        <v>19.767999999999802</v>
      </c>
      <c r="P61" s="53"/>
      <c r="Q61" s="67">
        <v>130.18700000000001</v>
      </c>
      <c r="R61" s="51"/>
      <c r="S61" s="69">
        <v>-188.83699999999999</v>
      </c>
      <c r="T61" s="51"/>
      <c r="U61" s="70">
        <v>319.024</v>
      </c>
      <c r="V61" s="25"/>
      <c r="W61" s="67">
        <v>-4.3600000000000003</v>
      </c>
      <c r="X61" s="51"/>
      <c r="Y61" s="69">
        <v>-1</v>
      </c>
      <c r="Z61" s="51"/>
      <c r="AA61" s="70">
        <v>-3.3600000000000003</v>
      </c>
      <c r="AB61" s="53"/>
      <c r="AC61" s="67">
        <v>0</v>
      </c>
      <c r="AD61" s="51"/>
      <c r="AE61" s="69">
        <v>0</v>
      </c>
      <c r="AF61" s="51"/>
      <c r="AG61" s="70">
        <v>0</v>
      </c>
      <c r="AH61" s="53"/>
      <c r="AI61" s="67">
        <v>-6.1779999999999999</v>
      </c>
      <c r="AJ61" s="51"/>
      <c r="AK61" s="69">
        <v>-4.17</v>
      </c>
      <c r="AL61" s="51"/>
      <c r="AM61" s="70">
        <v>-2.008</v>
      </c>
      <c r="AN61" s="53"/>
      <c r="AO61" s="67">
        <v>-82</v>
      </c>
      <c r="AP61" s="51"/>
      <c r="AQ61" s="69">
        <v>-87.48</v>
      </c>
      <c r="AR61" s="51"/>
      <c r="AS61" s="70">
        <v>5.480000000000004</v>
      </c>
      <c r="AT61" s="53"/>
      <c r="AU61" s="67">
        <v>-92.537999999999997</v>
      </c>
      <c r="AV61" s="51"/>
      <c r="AW61" s="69">
        <v>-92.65</v>
      </c>
      <c r="AX61" s="51"/>
      <c r="AY61" s="70">
        <v>0.11200000000000898</v>
      </c>
      <c r="BA61" s="67">
        <v>212.18700000000001</v>
      </c>
      <c r="BB61" s="51"/>
      <c r="BC61" s="69">
        <v>-101.35699999999999</v>
      </c>
      <c r="BD61" s="51"/>
      <c r="BE61" s="70">
        <v>313.54399999999998</v>
      </c>
      <c r="BG61" s="67">
        <v>-73</v>
      </c>
      <c r="BH61" s="51"/>
      <c r="BI61" s="69">
        <v>-72.16</v>
      </c>
      <c r="BJ61" s="51"/>
      <c r="BK61" s="70">
        <v>-0.84000000000000341</v>
      </c>
      <c r="BL61" s="53"/>
      <c r="BN61" s="67">
        <v>-9</v>
      </c>
      <c r="BO61" s="51"/>
      <c r="BP61" s="69">
        <v>-15.32</v>
      </c>
      <c r="BQ61" s="51"/>
      <c r="BR61" s="70">
        <v>6.32</v>
      </c>
      <c r="BS61" s="53"/>
    </row>
    <row r="62" spans="1:71" s="65" customFormat="1" outlineLevel="1">
      <c r="A62" s="65" t="s">
        <v>313</v>
      </c>
      <c r="B62" s="65" t="s">
        <v>289</v>
      </c>
      <c r="C62" s="65" t="s">
        <v>290</v>
      </c>
      <c r="D62" s="72" t="s">
        <v>395</v>
      </c>
      <c r="E62" s="67">
        <v>109.842</v>
      </c>
      <c r="F62" s="68"/>
      <c r="G62" s="69">
        <v>317.589</v>
      </c>
      <c r="H62" s="68"/>
      <c r="I62" s="70">
        <v>-207.74700000000001</v>
      </c>
      <c r="J62" s="71"/>
      <c r="K62" s="67">
        <v>-374.34</v>
      </c>
      <c r="L62" s="68"/>
      <c r="M62" s="69">
        <v>-428.08100000000002</v>
      </c>
      <c r="N62" s="51"/>
      <c r="O62" s="70">
        <v>53.741000000000042</v>
      </c>
      <c r="P62" s="53"/>
      <c r="Q62" s="67">
        <v>-264.49799999999999</v>
      </c>
      <c r="R62" s="51"/>
      <c r="S62" s="69">
        <v>-110.492</v>
      </c>
      <c r="T62" s="51"/>
      <c r="U62" s="70">
        <v>-154.00599999999997</v>
      </c>
      <c r="V62" s="25"/>
      <c r="W62" s="67">
        <v>-2.9079999999999999</v>
      </c>
      <c r="X62" s="51"/>
      <c r="Y62" s="69">
        <v>-2.9079999999999999</v>
      </c>
      <c r="Z62" s="51"/>
      <c r="AA62" s="70">
        <v>0</v>
      </c>
      <c r="AB62" s="53"/>
      <c r="AC62" s="67">
        <v>0</v>
      </c>
      <c r="AD62" s="51"/>
      <c r="AE62" s="69">
        <v>0</v>
      </c>
      <c r="AF62" s="51"/>
      <c r="AG62" s="70">
        <v>0</v>
      </c>
      <c r="AH62" s="53"/>
      <c r="AI62" s="67">
        <v>-4.1210000000000004</v>
      </c>
      <c r="AJ62" s="51"/>
      <c r="AK62" s="69">
        <v>-4.1219999999999999</v>
      </c>
      <c r="AL62" s="51"/>
      <c r="AM62" s="70">
        <v>9.9999999999944578E-4</v>
      </c>
      <c r="AN62" s="53"/>
      <c r="AO62" s="67">
        <v>-20.81</v>
      </c>
      <c r="AP62" s="51"/>
      <c r="AQ62" s="69">
        <v>-19.965</v>
      </c>
      <c r="AR62" s="51"/>
      <c r="AS62" s="70">
        <v>-0.84499999999999886</v>
      </c>
      <c r="AT62" s="53"/>
      <c r="AU62" s="67">
        <v>-27.838999999999999</v>
      </c>
      <c r="AV62" s="51"/>
      <c r="AW62" s="69">
        <v>-26.994999999999997</v>
      </c>
      <c r="AX62" s="51"/>
      <c r="AY62" s="70">
        <v>-0.84400000000000119</v>
      </c>
      <c r="BA62" s="67">
        <v>-243.68799999999999</v>
      </c>
      <c r="BB62" s="51"/>
      <c r="BC62" s="69">
        <v>-90.527000000000001</v>
      </c>
      <c r="BD62" s="51"/>
      <c r="BE62" s="70">
        <v>-153.161</v>
      </c>
      <c r="BG62" s="67">
        <v>-20.81</v>
      </c>
      <c r="BH62" s="51"/>
      <c r="BI62" s="69">
        <v>-19.965</v>
      </c>
      <c r="BJ62" s="51"/>
      <c r="BK62" s="70">
        <v>-0.84499999999999886</v>
      </c>
      <c r="BL62" s="53"/>
      <c r="BN62" s="67">
        <v>0</v>
      </c>
      <c r="BO62" s="51"/>
      <c r="BP62" s="69">
        <v>0</v>
      </c>
      <c r="BQ62" s="51"/>
      <c r="BR62" s="70">
        <v>0</v>
      </c>
      <c r="BS62" s="53"/>
    </row>
    <row r="63" spans="1:71" s="65" customFormat="1" outlineLevel="1">
      <c r="A63" s="65" t="s">
        <v>313</v>
      </c>
      <c r="B63" s="65" t="s">
        <v>277</v>
      </c>
      <c r="C63" s="65" t="s">
        <v>278</v>
      </c>
      <c r="D63" s="72" t="s">
        <v>305</v>
      </c>
      <c r="E63" s="67">
        <v>1000.451</v>
      </c>
      <c r="F63" s="68"/>
      <c r="G63" s="69">
        <v>1295.202</v>
      </c>
      <c r="H63" s="68"/>
      <c r="I63" s="70">
        <v>-294.75099999999998</v>
      </c>
      <c r="J63" s="71"/>
      <c r="K63" s="67">
        <v>-2099.9360000000001</v>
      </c>
      <c r="L63" s="68"/>
      <c r="M63" s="69">
        <v>-2193.4969999999998</v>
      </c>
      <c r="N63" s="51"/>
      <c r="O63" s="70">
        <v>93.560999999999694</v>
      </c>
      <c r="P63" s="53"/>
      <c r="Q63" s="67">
        <v>-1099.4849999999999</v>
      </c>
      <c r="R63" s="51"/>
      <c r="S63" s="69">
        <v>-898.29499999999905</v>
      </c>
      <c r="T63" s="51"/>
      <c r="U63" s="70">
        <v>-201.19000000000085</v>
      </c>
      <c r="V63" s="25"/>
      <c r="W63" s="67">
        <v>-6.5430000000000001</v>
      </c>
      <c r="X63" s="51"/>
      <c r="Y63" s="69">
        <v>-6.5430000000000001</v>
      </c>
      <c r="Z63" s="51"/>
      <c r="AA63" s="70">
        <v>0</v>
      </c>
      <c r="AB63" s="53"/>
      <c r="AC63" s="67">
        <v>0</v>
      </c>
      <c r="AD63" s="51"/>
      <c r="AE63" s="69">
        <v>0</v>
      </c>
      <c r="AF63" s="51"/>
      <c r="AG63" s="70">
        <v>0</v>
      </c>
      <c r="AH63" s="53"/>
      <c r="AI63" s="67">
        <v>-9.2759999999999998</v>
      </c>
      <c r="AJ63" s="51"/>
      <c r="AK63" s="69">
        <v>-9.2759999999999998</v>
      </c>
      <c r="AL63" s="51"/>
      <c r="AM63" s="70">
        <v>0</v>
      </c>
      <c r="AN63" s="53"/>
      <c r="AO63" s="67">
        <v>-83.085999999999999</v>
      </c>
      <c r="AP63" s="51"/>
      <c r="AQ63" s="69">
        <v>-83.076999999999998</v>
      </c>
      <c r="AR63" s="51"/>
      <c r="AS63" s="70">
        <v>-9.0000000000003411E-3</v>
      </c>
      <c r="AT63" s="53"/>
      <c r="AU63" s="67">
        <v>-98.905000000000001</v>
      </c>
      <c r="AV63" s="51"/>
      <c r="AW63" s="69">
        <v>-98.896000000000001</v>
      </c>
      <c r="AX63" s="51"/>
      <c r="AY63" s="70">
        <v>-9.0000000000003411E-3</v>
      </c>
      <c r="BA63" s="67">
        <v>-1016.3989999999999</v>
      </c>
      <c r="BB63" s="51"/>
      <c r="BC63" s="69">
        <v>-815.21799999999905</v>
      </c>
      <c r="BD63" s="51"/>
      <c r="BE63" s="70">
        <v>-201.18100000000084</v>
      </c>
      <c r="BG63" s="67">
        <v>-74.188000000000002</v>
      </c>
      <c r="BH63" s="51"/>
      <c r="BI63" s="69">
        <v>-74.180000000000007</v>
      </c>
      <c r="BJ63" s="51"/>
      <c r="BK63" s="70">
        <v>-7.9999999999955662E-3</v>
      </c>
      <c r="BL63" s="53"/>
      <c r="BN63" s="67">
        <v>-8.8979999999999997</v>
      </c>
      <c r="BO63" s="51"/>
      <c r="BP63" s="69">
        <v>-8.8970000000000002</v>
      </c>
      <c r="BQ63" s="51"/>
      <c r="BR63" s="70">
        <v>-9.9999999999944578E-4</v>
      </c>
      <c r="BS63" s="53"/>
    </row>
    <row r="64" spans="1:71" s="65" customFormat="1" outlineLevel="1">
      <c r="A64" s="65" t="s">
        <v>313</v>
      </c>
      <c r="B64" s="65" t="s">
        <v>330</v>
      </c>
      <c r="C64" s="65" t="s">
        <v>331</v>
      </c>
      <c r="D64" s="72" t="s">
        <v>402</v>
      </c>
      <c r="E64" s="67">
        <v>207</v>
      </c>
      <c r="F64" s="68"/>
      <c r="G64" s="69">
        <v>446.2</v>
      </c>
      <c r="H64" s="68"/>
      <c r="I64" s="70">
        <v>-239.2</v>
      </c>
      <c r="J64" s="71"/>
      <c r="K64" s="67">
        <v>-685.13</v>
      </c>
      <c r="L64" s="68"/>
      <c r="M64" s="69">
        <v>-594.06100000000004</v>
      </c>
      <c r="N64" s="51"/>
      <c r="O64" s="70">
        <v>-91.06899999999996</v>
      </c>
      <c r="P64" s="53"/>
      <c r="Q64" s="67">
        <v>-478.13</v>
      </c>
      <c r="R64" s="51"/>
      <c r="S64" s="69">
        <v>-147.86099999999999</v>
      </c>
      <c r="T64" s="51"/>
      <c r="U64" s="70">
        <v>-330.26900000000001</v>
      </c>
      <c r="V64" s="25"/>
      <c r="W64" s="67">
        <v>0</v>
      </c>
      <c r="X64" s="51"/>
      <c r="Y64" s="69">
        <v>-1.6</v>
      </c>
      <c r="Z64" s="51"/>
      <c r="AA64" s="70">
        <v>1.6</v>
      </c>
      <c r="AB64" s="53"/>
      <c r="AC64" s="67">
        <v>0</v>
      </c>
      <c r="AD64" s="51"/>
      <c r="AE64" s="69">
        <v>0</v>
      </c>
      <c r="AF64" s="51"/>
      <c r="AG64" s="70">
        <v>0</v>
      </c>
      <c r="AH64" s="53"/>
      <c r="AI64" s="67">
        <v>0</v>
      </c>
      <c r="AJ64" s="51"/>
      <c r="AK64" s="69">
        <v>-1.5</v>
      </c>
      <c r="AL64" s="51"/>
      <c r="AM64" s="70">
        <v>1.5</v>
      </c>
      <c r="AN64" s="53"/>
      <c r="AO64" s="67">
        <v>-18.100000000000001</v>
      </c>
      <c r="AP64" s="51"/>
      <c r="AQ64" s="69">
        <v>-15.183</v>
      </c>
      <c r="AR64" s="51"/>
      <c r="AS64" s="70">
        <v>-2.9170000000000016</v>
      </c>
      <c r="AT64" s="53"/>
      <c r="AU64" s="67">
        <v>-18.100000000000001</v>
      </c>
      <c r="AV64" s="51"/>
      <c r="AW64" s="69">
        <v>-18.283000000000001</v>
      </c>
      <c r="AX64" s="51"/>
      <c r="AY64" s="70">
        <v>0.18299999999999983</v>
      </c>
      <c r="BA64" s="67">
        <v>-460.03</v>
      </c>
      <c r="BB64" s="51"/>
      <c r="BC64" s="69">
        <v>-132.678</v>
      </c>
      <c r="BD64" s="51"/>
      <c r="BE64" s="70">
        <v>-327.35199999999998</v>
      </c>
      <c r="BG64" s="67">
        <v>-18.100000000000001</v>
      </c>
      <c r="BH64" s="51"/>
      <c r="BI64" s="69">
        <v>-15.183</v>
      </c>
      <c r="BJ64" s="51"/>
      <c r="BK64" s="70">
        <v>-2.9170000000000016</v>
      </c>
      <c r="BL64" s="53"/>
      <c r="BN64" s="67">
        <v>0</v>
      </c>
      <c r="BO64" s="51"/>
      <c r="BP64" s="69">
        <v>0</v>
      </c>
      <c r="BQ64" s="51"/>
      <c r="BR64" s="70">
        <v>0</v>
      </c>
      <c r="BS64" s="53"/>
    </row>
    <row r="65" spans="1:71" s="65" customFormat="1" outlineLevel="1">
      <c r="A65" s="65" t="s">
        <v>313</v>
      </c>
      <c r="B65" s="65" t="s">
        <v>332</v>
      </c>
      <c r="C65" s="65" t="s">
        <v>333</v>
      </c>
      <c r="D65" s="72" t="s">
        <v>403</v>
      </c>
      <c r="E65" s="67">
        <v>491.48981809334299</v>
      </c>
      <c r="F65" s="68"/>
      <c r="G65" s="69">
        <v>865.18410192826104</v>
      </c>
      <c r="H65" s="68"/>
      <c r="I65" s="70">
        <v>-373.69428383491805</v>
      </c>
      <c r="J65" s="71"/>
      <c r="K65" s="67">
        <v>-1407.2574620851599</v>
      </c>
      <c r="L65" s="68"/>
      <c r="M65" s="69">
        <v>-1523.00358715936</v>
      </c>
      <c r="N65" s="51"/>
      <c r="O65" s="70">
        <v>115.74612507420011</v>
      </c>
      <c r="P65" s="53"/>
      <c r="Q65" s="67">
        <v>-911.51541817870498</v>
      </c>
      <c r="R65" s="51"/>
      <c r="S65" s="69">
        <v>-655.79326014078902</v>
      </c>
      <c r="T65" s="51"/>
      <c r="U65" s="70">
        <v>-255.72215803791596</v>
      </c>
      <c r="V65" s="25"/>
      <c r="W65" s="67">
        <v>-4.0654471248559698</v>
      </c>
      <c r="X65" s="51"/>
      <c r="Y65" s="69">
        <v>-6.0706007687097099</v>
      </c>
      <c r="Z65" s="51"/>
      <c r="AA65" s="70">
        <v>2.0051536438537401</v>
      </c>
      <c r="AB65" s="53"/>
      <c r="AC65" s="67">
        <v>0</v>
      </c>
      <c r="AD65" s="51"/>
      <c r="AE65" s="69">
        <v>0</v>
      </c>
      <c r="AF65" s="51"/>
      <c r="AG65" s="70">
        <v>0</v>
      </c>
      <c r="AH65" s="53"/>
      <c r="AI65" s="67">
        <v>7.6451752083093298</v>
      </c>
      <c r="AJ65" s="51"/>
      <c r="AK65" s="69">
        <v>6.8134549743479198</v>
      </c>
      <c r="AL65" s="51"/>
      <c r="AM65" s="70">
        <v>0.83172023396141004</v>
      </c>
      <c r="AN65" s="53"/>
      <c r="AO65" s="67">
        <v>-71.074131544005795</v>
      </c>
      <c r="AP65" s="51"/>
      <c r="AQ65" s="69">
        <v>-72.157314254126803</v>
      </c>
      <c r="AR65" s="51"/>
      <c r="AS65" s="70">
        <v>1.0831827101210081</v>
      </c>
      <c r="AT65" s="53"/>
      <c r="AU65" s="67">
        <v>-67.494403460552434</v>
      </c>
      <c r="AV65" s="51"/>
      <c r="AW65" s="69">
        <v>-71.414460048488593</v>
      </c>
      <c r="AX65" s="51"/>
      <c r="AY65" s="70">
        <v>3.9200565879361591</v>
      </c>
      <c r="BA65" s="67">
        <v>-840.44128663469917</v>
      </c>
      <c r="BB65" s="51"/>
      <c r="BC65" s="69">
        <v>-583.63594588666217</v>
      </c>
      <c r="BD65" s="51"/>
      <c r="BE65" s="70">
        <v>-256.805340748037</v>
      </c>
      <c r="BG65" s="67">
        <v>-61.492691805068603</v>
      </c>
      <c r="BH65" s="51"/>
      <c r="BI65" s="69">
        <v>-62.510421451303998</v>
      </c>
      <c r="BJ65" s="51"/>
      <c r="BK65" s="70">
        <v>1.0177296462353951</v>
      </c>
      <c r="BL65" s="53"/>
      <c r="BN65" s="67">
        <v>-9.5814397389371404</v>
      </c>
      <c r="BO65" s="51"/>
      <c r="BP65" s="69">
        <v>-9.6468928028228298</v>
      </c>
      <c r="BQ65" s="51"/>
      <c r="BR65" s="70">
        <v>6.5453063885689389E-2</v>
      </c>
      <c r="BS65" s="53"/>
    </row>
    <row r="66" spans="1:71" s="65" customFormat="1">
      <c r="A66" s="65" t="s">
        <v>313</v>
      </c>
      <c r="B66" s="65" t="s">
        <v>334</v>
      </c>
      <c r="C66" s="65" t="s">
        <v>335</v>
      </c>
      <c r="D66" s="72" t="s">
        <v>404</v>
      </c>
      <c r="E66" s="67">
        <v>580.54</v>
      </c>
      <c r="F66" s="68"/>
      <c r="G66" s="69">
        <v>222.17500000000001</v>
      </c>
      <c r="H66" s="68"/>
      <c r="I66" s="70">
        <v>358.36499999999995</v>
      </c>
      <c r="J66" s="71"/>
      <c r="K66" s="67">
        <v>-1245.2719999999999</v>
      </c>
      <c r="L66" s="68"/>
      <c r="M66" s="69">
        <v>-1321.211</v>
      </c>
      <c r="N66" s="51"/>
      <c r="O66" s="70">
        <v>75.939000000000078</v>
      </c>
      <c r="P66" s="53"/>
      <c r="Q66" s="67">
        <v>-664.73199999999997</v>
      </c>
      <c r="R66" s="51"/>
      <c r="S66" s="69">
        <v>-1099.0360000000001</v>
      </c>
      <c r="T66" s="51"/>
      <c r="U66" s="70">
        <v>434.30400000000009</v>
      </c>
      <c r="V66" s="25"/>
      <c r="W66" s="67">
        <v>-13</v>
      </c>
      <c r="X66" s="51"/>
      <c r="Y66" s="69">
        <v>-16</v>
      </c>
      <c r="Z66" s="51"/>
      <c r="AA66" s="70">
        <v>3</v>
      </c>
      <c r="AB66" s="53"/>
      <c r="AC66" s="67">
        <v>0</v>
      </c>
      <c r="AD66" s="51"/>
      <c r="AE66" s="69">
        <v>0</v>
      </c>
      <c r="AF66" s="51"/>
      <c r="AG66" s="70">
        <v>0</v>
      </c>
      <c r="AH66" s="53"/>
      <c r="AI66" s="67">
        <v>-19</v>
      </c>
      <c r="AJ66" s="51"/>
      <c r="AK66" s="69">
        <v>-18</v>
      </c>
      <c r="AL66" s="51"/>
      <c r="AM66" s="70">
        <v>-1</v>
      </c>
      <c r="AN66" s="53"/>
      <c r="AO66" s="67">
        <v>-37</v>
      </c>
      <c r="AP66" s="51"/>
      <c r="AQ66" s="69">
        <v>-36</v>
      </c>
      <c r="AR66" s="51"/>
      <c r="AS66" s="70">
        <v>-1</v>
      </c>
      <c r="AT66" s="53"/>
      <c r="AU66" s="67">
        <v>-69</v>
      </c>
      <c r="AV66" s="51"/>
      <c r="AW66" s="69">
        <v>-70</v>
      </c>
      <c r="AX66" s="51"/>
      <c r="AY66" s="70">
        <v>1</v>
      </c>
      <c r="BA66" s="67">
        <v>-627.73199999999997</v>
      </c>
      <c r="BB66" s="51"/>
      <c r="BC66" s="69">
        <v>-1063.0360000000001</v>
      </c>
      <c r="BD66" s="51"/>
      <c r="BE66" s="70">
        <v>435.30400000000009</v>
      </c>
      <c r="BG66" s="67">
        <v>-30</v>
      </c>
      <c r="BH66" s="51"/>
      <c r="BI66" s="69">
        <v>-32</v>
      </c>
      <c r="BJ66" s="51"/>
      <c r="BK66" s="70">
        <v>2</v>
      </c>
      <c r="BL66" s="53"/>
      <c r="BN66" s="67">
        <v>-7</v>
      </c>
      <c r="BO66" s="51"/>
      <c r="BP66" s="69">
        <v>-4</v>
      </c>
      <c r="BQ66" s="51"/>
      <c r="BR66" s="70">
        <v>-3</v>
      </c>
      <c r="BS66" s="53"/>
    </row>
    <row r="67" spans="1:71" s="131" customFormat="1" ht="13.65" customHeight="1" outlineLevel="1">
      <c r="A67" s="65" t="s">
        <v>336</v>
      </c>
      <c r="B67" s="65" t="s">
        <v>337</v>
      </c>
      <c r="C67" s="65" t="s">
        <v>262</v>
      </c>
      <c r="D67" s="130" t="s">
        <v>397</v>
      </c>
      <c r="E67" s="67">
        <v>58.152000000000001</v>
      </c>
      <c r="F67" s="68"/>
      <c r="G67" s="69">
        <v>58.963000000000001</v>
      </c>
      <c r="H67" s="68"/>
      <c r="I67" s="70">
        <v>-0.81099999999999994</v>
      </c>
      <c r="J67" s="71"/>
      <c r="K67" s="259">
        <v>-148.28</v>
      </c>
      <c r="L67" s="68"/>
      <c r="M67" s="69">
        <v>-22.5760000000001</v>
      </c>
      <c r="N67" s="51"/>
      <c r="O67" s="70">
        <v>-125.70399999999989</v>
      </c>
      <c r="P67" s="53"/>
      <c r="Q67" s="67">
        <v>-90.128</v>
      </c>
      <c r="R67" s="68"/>
      <c r="S67" s="69">
        <v>36.387</v>
      </c>
      <c r="T67" s="51"/>
      <c r="U67" s="70">
        <v>-126.515</v>
      </c>
      <c r="V67" s="25"/>
      <c r="W67" s="67">
        <v>0</v>
      </c>
      <c r="X67" s="68"/>
      <c r="Y67" s="69">
        <v>0</v>
      </c>
      <c r="Z67" s="51"/>
      <c r="AA67" s="70">
        <v>0</v>
      </c>
      <c r="AB67" s="53"/>
      <c r="AC67" s="67">
        <v>0</v>
      </c>
      <c r="AD67" s="68"/>
      <c r="AE67" s="69">
        <v>0</v>
      </c>
      <c r="AF67" s="51"/>
      <c r="AG67" s="70">
        <v>0</v>
      </c>
      <c r="AH67" s="53"/>
      <c r="AI67" s="67">
        <v>241.02799999999999</v>
      </c>
      <c r="AJ67" s="68"/>
      <c r="AK67" s="69">
        <v>583.51</v>
      </c>
      <c r="AL67" s="51"/>
      <c r="AM67" s="70">
        <v>-342.48199999999997</v>
      </c>
      <c r="AN67" s="53"/>
      <c r="AO67" s="67">
        <v>0</v>
      </c>
      <c r="AP67" s="68"/>
      <c r="AQ67" s="69">
        <v>0</v>
      </c>
      <c r="AR67" s="51"/>
      <c r="AS67" s="70">
        <v>0</v>
      </c>
      <c r="AT67" s="53"/>
      <c r="AU67" s="67">
        <v>241.02799999999999</v>
      </c>
      <c r="AV67" s="68"/>
      <c r="AW67" s="69">
        <v>583.51</v>
      </c>
      <c r="AX67" s="51"/>
      <c r="AY67" s="70">
        <v>-342.48199999999997</v>
      </c>
      <c r="AZ67" s="65"/>
      <c r="BA67" s="67">
        <v>-90.128</v>
      </c>
      <c r="BB67" s="68"/>
      <c r="BC67" s="69">
        <v>36.387</v>
      </c>
      <c r="BD67" s="51"/>
      <c r="BE67" s="70">
        <v>-126.515</v>
      </c>
      <c r="BG67" s="132">
        <v>0</v>
      </c>
      <c r="BH67" s="133"/>
      <c r="BI67" s="134">
        <v>0</v>
      </c>
      <c r="BJ67" s="135"/>
      <c r="BK67" s="136">
        <v>0</v>
      </c>
      <c r="BL67" s="135"/>
      <c r="BN67" s="132">
        <v>0</v>
      </c>
      <c r="BO67" s="133"/>
      <c r="BP67" s="134">
        <v>0</v>
      </c>
      <c r="BQ67" s="135"/>
      <c r="BR67" s="136">
        <v>0</v>
      </c>
      <c r="BS67" s="135"/>
    </row>
    <row r="68" spans="1:71" s="131" customFormat="1" outlineLevel="1">
      <c r="A68" s="65" t="s">
        <v>338</v>
      </c>
      <c r="B68" s="65" t="s">
        <v>337</v>
      </c>
      <c r="C68" s="71" t="s">
        <v>262</v>
      </c>
      <c r="D68" s="130" t="s">
        <v>405</v>
      </c>
      <c r="E68" s="67">
        <v>0</v>
      </c>
      <c r="F68" s="68"/>
      <c r="G68" s="69">
        <v>0</v>
      </c>
      <c r="H68" s="68"/>
      <c r="I68" s="70">
        <v>0</v>
      </c>
      <c r="J68" s="71"/>
      <c r="K68" s="67">
        <v>0</v>
      </c>
      <c r="L68" s="68"/>
      <c r="M68" s="69">
        <v>0</v>
      </c>
      <c r="N68" s="51"/>
      <c r="O68" s="70">
        <v>0</v>
      </c>
      <c r="P68" s="53"/>
      <c r="Q68" s="67">
        <v>0</v>
      </c>
      <c r="R68" s="68"/>
      <c r="S68" s="69">
        <v>0</v>
      </c>
      <c r="T68" s="51"/>
      <c r="U68" s="70">
        <v>0</v>
      </c>
      <c r="V68" s="25"/>
      <c r="W68" s="67">
        <v>0</v>
      </c>
      <c r="X68" s="68"/>
      <c r="Y68" s="69">
        <v>0</v>
      </c>
      <c r="Z68" s="51"/>
      <c r="AA68" s="70">
        <v>0</v>
      </c>
      <c r="AB68" s="53"/>
      <c r="AC68" s="67">
        <v>0</v>
      </c>
      <c r="AD68" s="68"/>
      <c r="AE68" s="69">
        <v>0</v>
      </c>
      <c r="AF68" s="51"/>
      <c r="AG68" s="70">
        <v>0</v>
      </c>
      <c r="AH68" s="53"/>
      <c r="AI68" s="67">
        <v>0</v>
      </c>
      <c r="AJ68" s="68"/>
      <c r="AK68" s="69">
        <v>0</v>
      </c>
      <c r="AL68" s="51"/>
      <c r="AM68" s="70">
        <v>0</v>
      </c>
      <c r="AN68" s="53"/>
      <c r="AO68" s="67">
        <v>0</v>
      </c>
      <c r="AP68" s="68"/>
      <c r="AQ68" s="69">
        <v>0</v>
      </c>
      <c r="AR68" s="51"/>
      <c r="AS68" s="70">
        <v>0</v>
      </c>
      <c r="AT68" s="53"/>
      <c r="AU68" s="67">
        <v>0</v>
      </c>
      <c r="AV68" s="68"/>
      <c r="AW68" s="69">
        <v>0</v>
      </c>
      <c r="AX68" s="51"/>
      <c r="AY68" s="70">
        <v>0</v>
      </c>
      <c r="AZ68" s="65"/>
      <c r="BA68" s="67">
        <v>0</v>
      </c>
      <c r="BB68" s="68"/>
      <c r="BC68" s="69">
        <v>0</v>
      </c>
      <c r="BD68" s="51"/>
      <c r="BE68" s="70">
        <v>0</v>
      </c>
      <c r="BG68" s="132">
        <v>0</v>
      </c>
      <c r="BH68" s="133"/>
      <c r="BI68" s="134">
        <v>0</v>
      </c>
      <c r="BJ68" s="135"/>
      <c r="BK68" s="136">
        <v>0</v>
      </c>
      <c r="BL68" s="135"/>
      <c r="BN68" s="132">
        <v>0</v>
      </c>
      <c r="BO68" s="133"/>
      <c r="BP68" s="134">
        <v>0</v>
      </c>
      <c r="BQ68" s="135"/>
      <c r="BR68" s="136">
        <v>0</v>
      </c>
      <c r="BS68" s="135"/>
    </row>
    <row r="69" spans="1:71" s="44" customFormat="1">
      <c r="D69" s="86" t="s">
        <v>339</v>
      </c>
      <c r="E69" s="87">
        <v>37435.251481011102</v>
      </c>
      <c r="F69" s="47"/>
      <c r="G69" s="88">
        <v>37308.68281019268</v>
      </c>
      <c r="H69" s="47"/>
      <c r="I69" s="89">
        <v>126.56867081842211</v>
      </c>
      <c r="K69" s="87">
        <v>-36824.993833595021</v>
      </c>
      <c r="L69" s="47"/>
      <c r="M69" s="88">
        <v>-37426.551722716176</v>
      </c>
      <c r="N69" s="51"/>
      <c r="O69" s="52">
        <v>601.55788912115531</v>
      </c>
      <c r="P69" s="53"/>
      <c r="Q69" s="87">
        <v>552.62966363151168</v>
      </c>
      <c r="R69" s="47"/>
      <c r="S69" s="88">
        <v>-239.52668720762111</v>
      </c>
      <c r="T69" s="51"/>
      <c r="U69" s="89">
        <v>792.15635083913276</v>
      </c>
      <c r="V69" s="25"/>
      <c r="W69" s="87">
        <v>-25</v>
      </c>
      <c r="X69" s="47"/>
      <c r="Y69" s="88">
        <v>-25</v>
      </c>
      <c r="Z69" s="51"/>
      <c r="AA69" s="89">
        <v>0</v>
      </c>
      <c r="AB69" s="53"/>
      <c r="AC69" s="87">
        <v>0</v>
      </c>
      <c r="AD69" s="47"/>
      <c r="AE69" s="88">
        <v>0</v>
      </c>
      <c r="AF69" s="51"/>
      <c r="AG69" s="89">
        <v>0</v>
      </c>
      <c r="AH69" s="53"/>
      <c r="AI69" s="87">
        <v>0</v>
      </c>
      <c r="AJ69" s="47"/>
      <c r="AK69" s="88">
        <v>0</v>
      </c>
      <c r="AL69" s="51"/>
      <c r="AM69" s="89">
        <v>0</v>
      </c>
      <c r="AN69" s="53"/>
      <c r="AO69" s="87">
        <v>-3705.7943968112054</v>
      </c>
      <c r="AP69" s="47"/>
      <c r="AQ69" s="88">
        <v>-3801.6482841925599</v>
      </c>
      <c r="AR69" s="51"/>
      <c r="AS69" s="89">
        <v>95.853887381354525</v>
      </c>
      <c r="AT69" s="53"/>
      <c r="AU69" s="87">
        <v>-3730.7943968112054</v>
      </c>
      <c r="AV69" s="51"/>
      <c r="AW69" s="88">
        <v>-3826.6482841925599</v>
      </c>
      <c r="AX69" s="51"/>
      <c r="AY69" s="89">
        <v>95.853887381354525</v>
      </c>
      <c r="AZ69" s="65"/>
      <c r="BA69" s="87">
        <v>4258.4240604427168</v>
      </c>
      <c r="BB69" s="51"/>
      <c r="BC69" s="88">
        <v>3562.1215969849386</v>
      </c>
      <c r="BD69" s="51"/>
      <c r="BE69" s="89">
        <v>696.30246345777823</v>
      </c>
      <c r="BG69" s="87" t="e">
        <v>#REF!</v>
      </c>
      <c r="BH69" s="51"/>
      <c r="BI69" s="88" t="e">
        <v>#REF!</v>
      </c>
      <c r="BJ69" s="51"/>
      <c r="BK69" s="89" t="e">
        <v>#REF!</v>
      </c>
      <c r="BL69" s="53"/>
      <c r="BN69" s="87" t="e">
        <v>#REF!</v>
      </c>
      <c r="BO69" s="51"/>
      <c r="BP69" s="88" t="e">
        <v>#REF!</v>
      </c>
      <c r="BQ69" s="51"/>
      <c r="BR69" s="89" t="e">
        <v>#REF!</v>
      </c>
      <c r="BS69" s="53"/>
    </row>
    <row r="70" spans="1:71" s="64" customFormat="1" ht="15" hidden="1" customHeight="1" outlineLevel="1">
      <c r="A70" s="54" t="s">
        <v>340</v>
      </c>
      <c r="B70" s="55" t="s">
        <v>261</v>
      </c>
      <c r="C70" s="55" t="s">
        <v>294</v>
      </c>
      <c r="D70" s="56" t="s">
        <v>263</v>
      </c>
      <c r="E70" s="57">
        <v>0</v>
      </c>
      <c r="F70" s="58"/>
      <c r="G70" s="59">
        <v>0</v>
      </c>
      <c r="H70" s="58"/>
      <c r="I70" s="137">
        <v>0</v>
      </c>
      <c r="J70" s="91"/>
      <c r="K70" s="57">
        <v>0</v>
      </c>
      <c r="L70" s="58"/>
      <c r="M70" s="59">
        <v>0</v>
      </c>
      <c r="N70" s="62"/>
      <c r="O70" s="137">
        <v>0</v>
      </c>
      <c r="P70" s="63"/>
      <c r="Q70" s="57">
        <v>0</v>
      </c>
      <c r="R70" s="62"/>
      <c r="S70" s="59">
        <v>0</v>
      </c>
      <c r="T70" s="62"/>
      <c r="U70" s="137">
        <v>0</v>
      </c>
      <c r="V70" s="25"/>
      <c r="W70" s="57">
        <v>0</v>
      </c>
      <c r="X70" s="62"/>
      <c r="Y70" s="59">
        <v>0</v>
      </c>
      <c r="Z70" s="62"/>
      <c r="AA70" s="137">
        <v>0</v>
      </c>
      <c r="AB70" s="63"/>
      <c r="AC70" s="57">
        <v>0</v>
      </c>
      <c r="AD70" s="62"/>
      <c r="AE70" s="59">
        <v>0</v>
      </c>
      <c r="AF70" s="62"/>
      <c r="AG70" s="137">
        <v>0</v>
      </c>
      <c r="AH70" s="63"/>
      <c r="AI70" s="57">
        <v>0</v>
      </c>
      <c r="AJ70" s="62"/>
      <c r="AK70" s="59">
        <v>0</v>
      </c>
      <c r="AL70" s="62"/>
      <c r="AM70" s="137">
        <v>0</v>
      </c>
      <c r="AN70" s="63"/>
      <c r="AO70" s="57">
        <v>0</v>
      </c>
      <c r="AP70" s="62"/>
      <c r="AQ70" s="59">
        <v>0</v>
      </c>
      <c r="AR70" s="62"/>
      <c r="AS70" s="137">
        <v>0</v>
      </c>
      <c r="AT70" s="63"/>
      <c r="AU70" s="57">
        <v>0</v>
      </c>
      <c r="AV70" s="62"/>
      <c r="AW70" s="59">
        <v>0</v>
      </c>
      <c r="AX70" s="62"/>
      <c r="AY70" s="137">
        <v>0</v>
      </c>
      <c r="AZ70" s="65"/>
      <c r="BA70" s="57">
        <v>0</v>
      </c>
      <c r="BB70" s="62"/>
      <c r="BC70" s="59">
        <v>0</v>
      </c>
      <c r="BD70" s="62"/>
      <c r="BE70" s="137">
        <v>0</v>
      </c>
      <c r="BG70" s="57">
        <v>0</v>
      </c>
      <c r="BH70" s="62"/>
      <c r="BI70" s="59">
        <v>0</v>
      </c>
      <c r="BJ70" s="62"/>
      <c r="BK70" s="137">
        <v>0</v>
      </c>
      <c r="BL70" s="63"/>
      <c r="BN70" s="57">
        <v>0</v>
      </c>
      <c r="BO70" s="62"/>
      <c r="BP70" s="59">
        <v>0</v>
      </c>
      <c r="BQ70" s="62"/>
      <c r="BR70" s="137">
        <v>0</v>
      </c>
      <c r="BS70" s="63"/>
    </row>
    <row r="71" spans="1:71" s="65" customFormat="1" hidden="1" outlineLevel="1">
      <c r="A71" s="65" t="s">
        <v>341</v>
      </c>
      <c r="B71" s="65" t="s">
        <v>267</v>
      </c>
      <c r="C71" s="65" t="s">
        <v>262</v>
      </c>
      <c r="D71" s="130" t="s">
        <v>406</v>
      </c>
      <c r="E71" s="67">
        <v>0</v>
      </c>
      <c r="F71" s="68"/>
      <c r="G71" s="69">
        <v>0</v>
      </c>
      <c r="H71" s="68"/>
      <c r="I71" s="90">
        <v>0</v>
      </c>
      <c r="J71" s="71"/>
      <c r="K71" s="67">
        <v>-598.59500000000003</v>
      </c>
      <c r="L71" s="68"/>
      <c r="M71" s="69">
        <v>-516.53800000000001</v>
      </c>
      <c r="N71" s="51"/>
      <c r="O71" s="70">
        <v>-82.057000000000016</v>
      </c>
      <c r="P71" s="53"/>
      <c r="Q71" s="67">
        <v>-598.59500000000003</v>
      </c>
      <c r="R71" s="51"/>
      <c r="S71" s="69">
        <v>-516.53800000000001</v>
      </c>
      <c r="T71" s="51"/>
      <c r="U71" s="90">
        <v>-82.057000000000016</v>
      </c>
      <c r="V71" s="25"/>
      <c r="W71" s="67">
        <v>-25</v>
      </c>
      <c r="X71" s="51"/>
      <c r="Y71" s="69">
        <v>-25</v>
      </c>
      <c r="Z71" s="51"/>
      <c r="AA71" s="90">
        <v>0</v>
      </c>
      <c r="AB71" s="53"/>
      <c r="AC71" s="67">
        <v>0</v>
      </c>
      <c r="AD71" s="51"/>
      <c r="AE71" s="69">
        <v>0</v>
      </c>
      <c r="AF71" s="51"/>
      <c r="AG71" s="90">
        <v>0</v>
      </c>
      <c r="AH71" s="53"/>
      <c r="AI71" s="67">
        <v>0</v>
      </c>
      <c r="AJ71" s="51"/>
      <c r="AK71" s="69">
        <v>0</v>
      </c>
      <c r="AL71" s="51"/>
      <c r="AM71" s="90">
        <v>0</v>
      </c>
      <c r="AN71" s="53"/>
      <c r="AO71" s="67">
        <v>0</v>
      </c>
      <c r="AP71" s="51"/>
      <c r="AQ71" s="69">
        <v>0</v>
      </c>
      <c r="AR71" s="51"/>
      <c r="AS71" s="90">
        <v>0</v>
      </c>
      <c r="AT71" s="53"/>
      <c r="AU71" s="67">
        <v>-25</v>
      </c>
      <c r="AV71" s="51"/>
      <c r="AW71" s="69">
        <v>-25</v>
      </c>
      <c r="AX71" s="51"/>
      <c r="AY71" s="90">
        <v>0</v>
      </c>
      <c r="BA71" s="67">
        <v>-598.59500000000003</v>
      </c>
      <c r="BB71" s="51"/>
      <c r="BC71" s="69">
        <v>-516.53800000000001</v>
      </c>
      <c r="BD71" s="51"/>
      <c r="BE71" s="90">
        <v>-82.057000000000016</v>
      </c>
      <c r="BG71" s="67">
        <v>0</v>
      </c>
      <c r="BH71" s="51"/>
      <c r="BI71" s="69">
        <v>0</v>
      </c>
      <c r="BJ71" s="51"/>
      <c r="BK71" s="90">
        <v>0</v>
      </c>
      <c r="BL71" s="53"/>
      <c r="BN71" s="67">
        <v>0</v>
      </c>
      <c r="BO71" s="51"/>
      <c r="BP71" s="69">
        <v>0</v>
      </c>
      <c r="BQ71" s="51"/>
      <c r="BR71" s="90">
        <v>0</v>
      </c>
      <c r="BS71" s="53"/>
    </row>
    <row r="72" spans="1:71" s="65" customFormat="1" collapsed="1">
      <c r="A72" s="65" t="s">
        <v>342</v>
      </c>
      <c r="B72" s="65" t="s">
        <v>267</v>
      </c>
      <c r="C72" s="65" t="s">
        <v>262</v>
      </c>
      <c r="D72" s="130" t="s">
        <v>390</v>
      </c>
      <c r="E72" s="67">
        <v>13315.218999999999</v>
      </c>
      <c r="F72" s="68"/>
      <c r="G72" s="69">
        <v>13917.906000000001</v>
      </c>
      <c r="H72" s="68"/>
      <c r="I72" s="90">
        <v>-602.68700000000172</v>
      </c>
      <c r="J72" s="71"/>
      <c r="K72" s="67">
        <v>-11737.948</v>
      </c>
      <c r="L72" s="68"/>
      <c r="M72" s="69">
        <v>-11976.098</v>
      </c>
      <c r="N72" s="51"/>
      <c r="O72" s="70">
        <v>238.14999999999964</v>
      </c>
      <c r="P72" s="53"/>
      <c r="Q72" s="67">
        <v>1623.002</v>
      </c>
      <c r="R72" s="51"/>
      <c r="S72" s="69">
        <v>1841.808</v>
      </c>
      <c r="T72" s="51"/>
      <c r="U72" s="70">
        <v>-218.80600000000004</v>
      </c>
      <c r="V72" s="25"/>
      <c r="W72" s="67">
        <v>0</v>
      </c>
      <c r="X72" s="51"/>
      <c r="Y72" s="69">
        <v>0</v>
      </c>
      <c r="Z72" s="51"/>
      <c r="AA72" s="70">
        <v>0</v>
      </c>
      <c r="AB72" s="53"/>
      <c r="AC72" s="67">
        <v>0</v>
      </c>
      <c r="AD72" s="51"/>
      <c r="AE72" s="69">
        <v>0</v>
      </c>
      <c r="AF72" s="51"/>
      <c r="AG72" s="70">
        <v>0</v>
      </c>
      <c r="AH72" s="53"/>
      <c r="AI72" s="67">
        <v>0</v>
      </c>
      <c r="AJ72" s="51"/>
      <c r="AK72" s="69">
        <v>0</v>
      </c>
      <c r="AL72" s="51"/>
      <c r="AM72" s="70">
        <v>0</v>
      </c>
      <c r="AN72" s="53"/>
      <c r="AO72" s="67">
        <v>-2542.5889999999999</v>
      </c>
      <c r="AP72" s="51"/>
      <c r="AQ72" s="69">
        <v>-2543.7579999999998</v>
      </c>
      <c r="AR72" s="51"/>
      <c r="AS72" s="70">
        <v>1.168999999999869</v>
      </c>
      <c r="AT72" s="53"/>
      <c r="AU72" s="67">
        <v>-2542.5889999999999</v>
      </c>
      <c r="AV72" s="51"/>
      <c r="AW72" s="69">
        <v>-2543.7579999999998</v>
      </c>
      <c r="AX72" s="51"/>
      <c r="AY72" s="70">
        <v>1.168999999999869</v>
      </c>
      <c r="BA72" s="67">
        <v>4165.5910000000003</v>
      </c>
      <c r="BB72" s="51"/>
      <c r="BC72" s="69">
        <v>4385.5659999999998</v>
      </c>
      <c r="BD72" s="51"/>
      <c r="BE72" s="70">
        <v>-219.97499999999945</v>
      </c>
      <c r="BG72" s="67">
        <v>-2423.7809999999999</v>
      </c>
      <c r="BH72" s="51"/>
      <c r="BI72" s="69">
        <v>-2423.7809999999999</v>
      </c>
      <c r="BJ72" s="51"/>
      <c r="BK72" s="70">
        <v>0</v>
      </c>
      <c r="BL72" s="53"/>
      <c r="BN72" s="67">
        <v>-118.80800000000001</v>
      </c>
      <c r="BO72" s="51"/>
      <c r="BP72" s="69">
        <v>-119.977</v>
      </c>
      <c r="BQ72" s="51"/>
      <c r="BR72" s="70">
        <v>1.1689999999999969</v>
      </c>
      <c r="BS72" s="53"/>
    </row>
    <row r="73" spans="1:71" s="65" customFormat="1">
      <c r="A73" s="65" t="s">
        <v>340</v>
      </c>
      <c r="B73" s="65" t="s">
        <v>343</v>
      </c>
      <c r="C73" s="65" t="s">
        <v>283</v>
      </c>
      <c r="D73" s="130" t="s">
        <v>392</v>
      </c>
      <c r="E73" s="67">
        <v>4242.6549999999997</v>
      </c>
      <c r="F73" s="68"/>
      <c r="G73" s="69">
        <v>3889.3119999999999</v>
      </c>
      <c r="H73" s="68"/>
      <c r="I73" s="70">
        <v>353.34299999999985</v>
      </c>
      <c r="J73" s="71"/>
      <c r="K73" s="67">
        <v>-5205.3010000000004</v>
      </c>
      <c r="L73" s="68"/>
      <c r="M73" s="69">
        <v>-5280.1530000000002</v>
      </c>
      <c r="N73" s="51"/>
      <c r="O73" s="70">
        <v>74.851999999999862</v>
      </c>
      <c r="P73" s="53"/>
      <c r="Q73" s="67">
        <v>-972.2</v>
      </c>
      <c r="R73" s="51"/>
      <c r="S73" s="69">
        <v>-1390.97</v>
      </c>
      <c r="T73" s="51"/>
      <c r="U73" s="70">
        <v>418.77</v>
      </c>
      <c r="V73" s="25"/>
      <c r="W73" s="67">
        <v>0</v>
      </c>
      <c r="X73" s="51"/>
      <c r="Y73" s="69">
        <v>0</v>
      </c>
      <c r="Z73" s="51"/>
      <c r="AA73" s="70">
        <v>0</v>
      </c>
      <c r="AB73" s="53"/>
      <c r="AC73" s="67">
        <v>0</v>
      </c>
      <c r="AD73" s="51"/>
      <c r="AE73" s="69">
        <v>0</v>
      </c>
      <c r="AF73" s="51"/>
      <c r="AG73" s="70">
        <v>0</v>
      </c>
      <c r="AH73" s="53"/>
      <c r="AI73" s="67">
        <v>0</v>
      </c>
      <c r="AJ73" s="51"/>
      <c r="AK73" s="69">
        <v>0</v>
      </c>
      <c r="AL73" s="51"/>
      <c r="AM73" s="70">
        <v>0</v>
      </c>
      <c r="AN73" s="53"/>
      <c r="AO73" s="67">
        <v>-222.34399999999999</v>
      </c>
      <c r="AP73" s="51"/>
      <c r="AQ73" s="69">
        <v>-222.47499999999999</v>
      </c>
      <c r="AR73" s="51"/>
      <c r="AS73" s="70">
        <v>0.13100000000000023</v>
      </c>
      <c r="AT73" s="53"/>
      <c r="AU73" s="67">
        <v>-222.34399999999999</v>
      </c>
      <c r="AV73" s="51"/>
      <c r="AW73" s="69">
        <v>-222.47499999999999</v>
      </c>
      <c r="AX73" s="51"/>
      <c r="AY73" s="70">
        <v>0.13100000000000023</v>
      </c>
      <c r="BA73" s="67">
        <v>-749.85599999999999</v>
      </c>
      <c r="BB73" s="51"/>
      <c r="BC73" s="69">
        <v>-1168.4950000000001</v>
      </c>
      <c r="BD73" s="51"/>
      <c r="BE73" s="70">
        <v>418.63900000000012</v>
      </c>
      <c r="BG73" s="67">
        <v>-166.142</v>
      </c>
      <c r="BH73" s="51"/>
      <c r="BI73" s="69">
        <v>-166.143</v>
      </c>
      <c r="BJ73" s="51"/>
      <c r="BK73" s="70">
        <v>1.0000000000047748E-3</v>
      </c>
      <c r="BL73" s="53"/>
      <c r="BN73" s="67">
        <v>-56.201999999999998</v>
      </c>
      <c r="BO73" s="51"/>
      <c r="BP73" s="69">
        <v>-56.332000000000001</v>
      </c>
      <c r="BQ73" s="51"/>
      <c r="BR73" s="70">
        <v>0.13000000000000256</v>
      </c>
      <c r="BS73" s="53"/>
    </row>
    <row r="74" spans="1:71" s="65" customFormat="1">
      <c r="A74" s="65" t="s">
        <v>344</v>
      </c>
      <c r="B74" s="65" t="s">
        <v>317</v>
      </c>
      <c r="C74" s="65" t="s">
        <v>103</v>
      </c>
      <c r="D74" s="130" t="s">
        <v>394</v>
      </c>
      <c r="E74" s="67">
        <v>11175.893452440499</v>
      </c>
      <c r="F74" s="68"/>
      <c r="G74" s="69">
        <v>10897.0468629567</v>
      </c>
      <c r="H74" s="68"/>
      <c r="I74" s="70">
        <v>278.84658948379911</v>
      </c>
      <c r="J74" s="71"/>
      <c r="K74" s="67">
        <v>-10427.939504678499</v>
      </c>
      <c r="L74" s="68"/>
      <c r="M74" s="69">
        <v>-10642.0361559061</v>
      </c>
      <c r="N74" s="51"/>
      <c r="O74" s="70">
        <v>214.09665122760089</v>
      </c>
      <c r="P74" s="53"/>
      <c r="Q74" s="67">
        <v>649.27400926010898</v>
      </c>
      <c r="R74" s="51"/>
      <c r="S74" s="69">
        <v>252.58166017033699</v>
      </c>
      <c r="T74" s="51"/>
      <c r="U74" s="70">
        <v>396.69234908977199</v>
      </c>
      <c r="V74" s="25"/>
      <c r="W74" s="67">
        <v>0</v>
      </c>
      <c r="X74" s="51"/>
      <c r="Y74" s="69">
        <v>0</v>
      </c>
      <c r="Z74" s="51"/>
      <c r="AA74" s="70">
        <v>0</v>
      </c>
      <c r="AB74" s="53"/>
      <c r="AC74" s="67">
        <v>0</v>
      </c>
      <c r="AD74" s="51"/>
      <c r="AE74" s="69">
        <v>0</v>
      </c>
      <c r="AF74" s="51"/>
      <c r="AG74" s="70">
        <v>0</v>
      </c>
      <c r="AH74" s="53"/>
      <c r="AI74" s="67">
        <v>0</v>
      </c>
      <c r="AJ74" s="51"/>
      <c r="AK74" s="69">
        <v>0</v>
      </c>
      <c r="AL74" s="51"/>
      <c r="AM74" s="70">
        <v>0</v>
      </c>
      <c r="AN74" s="53"/>
      <c r="AO74" s="67">
        <v>-589.49527708283097</v>
      </c>
      <c r="AP74" s="51"/>
      <c r="AQ74" s="69">
        <v>-690.78471620127596</v>
      </c>
      <c r="AR74" s="51"/>
      <c r="AS74" s="70">
        <v>101.28943911844499</v>
      </c>
      <c r="AT74" s="53"/>
      <c r="AU74" s="67">
        <v>-589.49527708283097</v>
      </c>
      <c r="AV74" s="51"/>
      <c r="AW74" s="69">
        <v>-690.78471620127596</v>
      </c>
      <c r="AX74" s="51"/>
      <c r="AY74" s="70">
        <v>101.28943911844499</v>
      </c>
      <c r="BA74" s="67">
        <v>1238.7692863429399</v>
      </c>
      <c r="BB74" s="51"/>
      <c r="BC74" s="69">
        <v>943.36637637161289</v>
      </c>
      <c r="BD74" s="51"/>
      <c r="BE74" s="70">
        <v>295.40290997132706</v>
      </c>
      <c r="BG74" s="67">
        <v>-413.70392965594999</v>
      </c>
      <c r="BH74" s="51"/>
      <c r="BI74" s="69">
        <v>-511.26938595527599</v>
      </c>
      <c r="BJ74" s="51"/>
      <c r="BK74" s="70">
        <v>97.565456299326001</v>
      </c>
      <c r="BL74" s="53"/>
      <c r="BN74" s="67">
        <v>-175.791347426881</v>
      </c>
      <c r="BO74" s="51"/>
      <c r="BP74" s="69">
        <v>-179.515330245999</v>
      </c>
      <c r="BQ74" s="51"/>
      <c r="BR74" s="70">
        <v>3.7239828191179924</v>
      </c>
      <c r="BS74" s="53"/>
    </row>
    <row r="75" spans="1:71" s="75" customFormat="1" ht="14.4" hidden="1" outlineLevel="1">
      <c r="A75" s="65" t="s">
        <v>344</v>
      </c>
      <c r="B75" s="65" t="s">
        <v>317</v>
      </c>
      <c r="C75" s="75" t="s">
        <v>287</v>
      </c>
      <c r="D75" s="138" t="s">
        <v>288</v>
      </c>
      <c r="E75" s="77">
        <v>9704.0519999999997</v>
      </c>
      <c r="F75" s="78"/>
      <c r="G75" s="79">
        <v>9447.8130000000001</v>
      </c>
      <c r="H75" s="78"/>
      <c r="I75" s="80">
        <v>256.23899999999958</v>
      </c>
      <c r="J75" s="81"/>
      <c r="K75" s="77">
        <v>-9054.6020000000008</v>
      </c>
      <c r="L75" s="78"/>
      <c r="M75" s="79">
        <v>-9226.7170000000006</v>
      </c>
      <c r="N75" s="82"/>
      <c r="O75" s="70">
        <v>172.11499999999978</v>
      </c>
      <c r="P75" s="83"/>
      <c r="Q75" s="77">
        <v>563.76600000000099</v>
      </c>
      <c r="R75" s="82"/>
      <c r="S75" s="79">
        <v>218.990000000002</v>
      </c>
      <c r="T75" s="82"/>
      <c r="U75" s="96">
        <v>344.77599999999899</v>
      </c>
      <c r="V75" s="25"/>
      <c r="W75" s="77">
        <v>0</v>
      </c>
      <c r="X75" s="82"/>
      <c r="Y75" s="79">
        <v>0</v>
      </c>
      <c r="Z75" s="82"/>
      <c r="AA75" s="96">
        <v>0</v>
      </c>
      <c r="AB75" s="83"/>
      <c r="AC75" s="77">
        <v>0</v>
      </c>
      <c r="AD75" s="82"/>
      <c r="AE75" s="79">
        <v>0</v>
      </c>
      <c r="AF75" s="82"/>
      <c r="AG75" s="96">
        <v>0</v>
      </c>
      <c r="AH75" s="83"/>
      <c r="AI75" s="77">
        <v>0</v>
      </c>
      <c r="AJ75" s="82"/>
      <c r="AK75" s="79">
        <v>0</v>
      </c>
      <c r="AL75" s="82"/>
      <c r="AM75" s="96">
        <v>0</v>
      </c>
      <c r="AN75" s="83"/>
      <c r="AO75" s="77">
        <v>-511.86</v>
      </c>
      <c r="AP75" s="82"/>
      <c r="AQ75" s="79">
        <v>-598.91499999999996</v>
      </c>
      <c r="AR75" s="82"/>
      <c r="AS75" s="96">
        <v>87.05499999999995</v>
      </c>
      <c r="AT75" s="83"/>
      <c r="AU75" s="77">
        <v>-511.86</v>
      </c>
      <c r="AV75" s="82"/>
      <c r="AW75" s="79">
        <v>-598.91499999999996</v>
      </c>
      <c r="AX75" s="82"/>
      <c r="AY75" s="96">
        <v>87.05499999999995</v>
      </c>
      <c r="BA75" s="77">
        <v>1075.6260000000011</v>
      </c>
      <c r="BB75" s="82"/>
      <c r="BC75" s="79">
        <v>817.90500000000202</v>
      </c>
      <c r="BD75" s="82"/>
      <c r="BE75" s="96">
        <v>257.72099999999909</v>
      </c>
      <c r="BG75" s="77">
        <v>-359.22</v>
      </c>
      <c r="BH75" s="82"/>
      <c r="BI75" s="79">
        <v>-443.274</v>
      </c>
      <c r="BJ75" s="82"/>
      <c r="BK75" s="96">
        <v>84.053999999999974</v>
      </c>
      <c r="BL75" s="83"/>
      <c r="BN75" s="77">
        <v>-152.63999999999999</v>
      </c>
      <c r="BO75" s="82"/>
      <c r="BP75" s="79">
        <v>-155.64099999999999</v>
      </c>
      <c r="BQ75" s="82"/>
      <c r="BR75" s="96">
        <v>3.0010000000000048</v>
      </c>
      <c r="BS75" s="83"/>
    </row>
    <row r="76" spans="1:71" s="65" customFormat="1" collapsed="1">
      <c r="A76" s="65" t="s">
        <v>340</v>
      </c>
      <c r="B76" s="65" t="s">
        <v>277</v>
      </c>
      <c r="C76" s="65" t="s">
        <v>278</v>
      </c>
      <c r="D76" s="130" t="s">
        <v>305</v>
      </c>
      <c r="E76" s="67">
        <v>1792.9639999999999</v>
      </c>
      <c r="F76" s="68"/>
      <c r="G76" s="69">
        <v>1800.925</v>
      </c>
      <c r="H76" s="68"/>
      <c r="I76" s="70">
        <v>-7.9610000000000127</v>
      </c>
      <c r="J76" s="71"/>
      <c r="K76" s="67">
        <v>-2480.7370000000001</v>
      </c>
      <c r="L76" s="68"/>
      <c r="M76" s="69">
        <v>-2481.4929999999999</v>
      </c>
      <c r="N76" s="51"/>
      <c r="O76" s="70">
        <v>0.75599999999985812</v>
      </c>
      <c r="P76" s="53"/>
      <c r="Q76" s="67">
        <v>-689.27499999999998</v>
      </c>
      <c r="R76" s="51"/>
      <c r="S76" s="69">
        <v>-680.56799999999998</v>
      </c>
      <c r="T76" s="51"/>
      <c r="U76" s="70">
        <v>-8.7069999999999936</v>
      </c>
      <c r="V76" s="25"/>
      <c r="W76" s="67">
        <v>0</v>
      </c>
      <c r="X76" s="51"/>
      <c r="Y76" s="69">
        <v>0</v>
      </c>
      <c r="Z76" s="51"/>
      <c r="AA76" s="70">
        <v>0</v>
      </c>
      <c r="AB76" s="53"/>
      <c r="AC76" s="67">
        <v>0</v>
      </c>
      <c r="AD76" s="51"/>
      <c r="AE76" s="69">
        <v>0</v>
      </c>
      <c r="AF76" s="51"/>
      <c r="AG76" s="70">
        <v>0</v>
      </c>
      <c r="AH76" s="53"/>
      <c r="AI76" s="67">
        <v>0</v>
      </c>
      <c r="AJ76" s="51"/>
      <c r="AK76" s="69">
        <v>0</v>
      </c>
      <c r="AL76" s="51"/>
      <c r="AM76" s="70">
        <v>0</v>
      </c>
      <c r="AN76" s="53"/>
      <c r="AO76" s="67">
        <v>-97.945999999999998</v>
      </c>
      <c r="AP76" s="51"/>
      <c r="AQ76" s="69">
        <v>-97.947999999999993</v>
      </c>
      <c r="AR76" s="51"/>
      <c r="AS76" s="70">
        <v>1.9999999999953388E-3</v>
      </c>
      <c r="AT76" s="53"/>
      <c r="AU76" s="67">
        <v>-97.945999999999998</v>
      </c>
      <c r="AV76" s="51"/>
      <c r="AW76" s="69">
        <v>-97.947999999999993</v>
      </c>
      <c r="AX76" s="51"/>
      <c r="AY76" s="70">
        <v>1.9999999999953388E-3</v>
      </c>
      <c r="BA76" s="67">
        <v>-591.32899999999995</v>
      </c>
      <c r="BB76" s="51"/>
      <c r="BC76" s="69">
        <v>-582.62</v>
      </c>
      <c r="BD76" s="51"/>
      <c r="BE76" s="70">
        <v>-8.7089999999999463</v>
      </c>
      <c r="BG76" s="67">
        <v>-77.733000000000004</v>
      </c>
      <c r="BH76" s="51"/>
      <c r="BI76" s="69">
        <v>-77.733000000000004</v>
      </c>
      <c r="BJ76" s="51"/>
      <c r="BK76" s="70">
        <v>0</v>
      </c>
      <c r="BL76" s="53"/>
      <c r="BN76" s="67">
        <v>-20.213000000000001</v>
      </c>
      <c r="BO76" s="51"/>
      <c r="BP76" s="69">
        <v>-20.215</v>
      </c>
      <c r="BQ76" s="51"/>
      <c r="BR76" s="70">
        <v>1.9999999999988916E-3</v>
      </c>
      <c r="BS76" s="53"/>
    </row>
    <row r="77" spans="1:71" s="65" customFormat="1">
      <c r="A77" s="65" t="s">
        <v>340</v>
      </c>
      <c r="B77" s="65" t="s">
        <v>309</v>
      </c>
      <c r="C77" s="65" t="s">
        <v>310</v>
      </c>
      <c r="D77" s="130" t="s">
        <v>398</v>
      </c>
      <c r="E77" s="67">
        <v>3470</v>
      </c>
      <c r="F77" s="68"/>
      <c r="G77" s="69">
        <v>3444.9160000000002</v>
      </c>
      <c r="H77" s="68"/>
      <c r="I77" s="70">
        <v>25.083999999999833</v>
      </c>
      <c r="J77" s="71"/>
      <c r="K77" s="67">
        <v>-2700.1849999999999</v>
      </c>
      <c r="L77" s="68"/>
      <c r="M77" s="69">
        <v>-2907.01</v>
      </c>
      <c r="N77" s="51"/>
      <c r="O77" s="70">
        <v>206.82500000000027</v>
      </c>
      <c r="P77" s="53"/>
      <c r="Q77" s="67">
        <v>808.81500000000005</v>
      </c>
      <c r="R77" s="51"/>
      <c r="S77" s="69">
        <v>537.90599999999995</v>
      </c>
      <c r="T77" s="51"/>
      <c r="U77" s="70">
        <v>270.90900000000011</v>
      </c>
      <c r="V77" s="25"/>
      <c r="W77" s="67">
        <v>0</v>
      </c>
      <c r="X77" s="51"/>
      <c r="Y77" s="69">
        <v>0</v>
      </c>
      <c r="Z77" s="51"/>
      <c r="AA77" s="70">
        <v>0</v>
      </c>
      <c r="AB77" s="53"/>
      <c r="AC77" s="67">
        <v>0</v>
      </c>
      <c r="AD77" s="51"/>
      <c r="AE77" s="69">
        <v>0</v>
      </c>
      <c r="AF77" s="51"/>
      <c r="AG77" s="70">
        <v>0</v>
      </c>
      <c r="AH77" s="53"/>
      <c r="AI77" s="67">
        <v>0</v>
      </c>
      <c r="AJ77" s="51"/>
      <c r="AK77" s="69">
        <v>0</v>
      </c>
      <c r="AL77" s="51"/>
      <c r="AM77" s="70">
        <v>0</v>
      </c>
      <c r="AN77" s="53"/>
      <c r="AO77" s="67">
        <v>-125</v>
      </c>
      <c r="AP77" s="51"/>
      <c r="AQ77" s="69">
        <v>-120.02</v>
      </c>
      <c r="AR77" s="51"/>
      <c r="AS77" s="70">
        <v>-4.980000000000004</v>
      </c>
      <c r="AT77" s="53"/>
      <c r="AU77" s="67">
        <v>-125</v>
      </c>
      <c r="AV77" s="51"/>
      <c r="AW77" s="69">
        <v>-120.02</v>
      </c>
      <c r="AX77" s="51"/>
      <c r="AY77" s="70">
        <v>-4.980000000000004</v>
      </c>
      <c r="BA77" s="67">
        <v>933.81500000000005</v>
      </c>
      <c r="BB77" s="51"/>
      <c r="BC77" s="69">
        <v>657.92599999999993</v>
      </c>
      <c r="BD77" s="51"/>
      <c r="BE77" s="70">
        <v>275.88900000000012</v>
      </c>
      <c r="BG77" s="67">
        <v>-93</v>
      </c>
      <c r="BH77" s="51"/>
      <c r="BI77" s="69">
        <v>-92.44</v>
      </c>
      <c r="BJ77" s="51"/>
      <c r="BK77" s="70">
        <v>-0.56000000000000227</v>
      </c>
      <c r="BL77" s="53"/>
      <c r="BN77" s="67">
        <v>-32</v>
      </c>
      <c r="BO77" s="51"/>
      <c r="BP77" s="69">
        <v>-27.58</v>
      </c>
      <c r="BQ77" s="51"/>
      <c r="BR77" s="70">
        <v>-4.4200000000000017</v>
      </c>
      <c r="BS77" s="53"/>
    </row>
    <row r="78" spans="1:71" s="65" customFormat="1">
      <c r="A78" s="65" t="s">
        <v>340</v>
      </c>
      <c r="B78" s="65" t="s">
        <v>332</v>
      </c>
      <c r="C78" s="65" t="s">
        <v>333</v>
      </c>
      <c r="D78" s="97" t="s">
        <v>403</v>
      </c>
      <c r="E78" s="67">
        <v>860.14702857061195</v>
      </c>
      <c r="F78" s="68"/>
      <c r="G78" s="69">
        <v>902.36694723598703</v>
      </c>
      <c r="H78" s="68"/>
      <c r="I78" s="70">
        <v>-42.219918665375076</v>
      </c>
      <c r="J78" s="71"/>
      <c r="K78" s="67">
        <v>-962.44932891651104</v>
      </c>
      <c r="L78" s="68"/>
      <c r="M78" s="69">
        <v>-986.19856681005103</v>
      </c>
      <c r="N78" s="51"/>
      <c r="O78" s="70">
        <v>23.749237893539998</v>
      </c>
      <c r="P78" s="53"/>
      <c r="Q78" s="67">
        <v>-125.13534562859699</v>
      </c>
      <c r="R78" s="51"/>
      <c r="S78" s="69">
        <v>-102.035347377958</v>
      </c>
      <c r="T78" s="51"/>
      <c r="U78" s="70">
        <v>-23.09999825063899</v>
      </c>
      <c r="V78" s="25"/>
      <c r="W78" s="67">
        <v>0</v>
      </c>
      <c r="X78" s="51"/>
      <c r="Y78" s="69">
        <v>0</v>
      </c>
      <c r="Z78" s="51"/>
      <c r="AA78" s="70">
        <v>0</v>
      </c>
      <c r="AB78" s="53"/>
      <c r="AC78" s="67">
        <v>0</v>
      </c>
      <c r="AD78" s="51"/>
      <c r="AE78" s="69">
        <v>0</v>
      </c>
      <c r="AF78" s="51"/>
      <c r="AG78" s="70">
        <v>0</v>
      </c>
      <c r="AH78" s="53"/>
      <c r="AI78" s="67">
        <v>0</v>
      </c>
      <c r="AJ78" s="51"/>
      <c r="AK78" s="69">
        <v>0</v>
      </c>
      <c r="AL78" s="51"/>
      <c r="AM78" s="70">
        <v>0</v>
      </c>
      <c r="AN78" s="53"/>
      <c r="AO78" s="67">
        <v>-43.5801197283742</v>
      </c>
      <c r="AP78" s="51"/>
      <c r="AQ78" s="69">
        <v>-44.114567991284297</v>
      </c>
      <c r="AR78" s="51"/>
      <c r="AS78" s="70">
        <v>0.53444826291009662</v>
      </c>
      <c r="AT78" s="53"/>
      <c r="AU78" s="67">
        <v>-43.5801197283742</v>
      </c>
      <c r="AV78" s="51"/>
      <c r="AW78" s="69">
        <v>-44.114567991284297</v>
      </c>
      <c r="AX78" s="51"/>
      <c r="AY78" s="70">
        <v>0.53444826291009662</v>
      </c>
      <c r="BA78" s="67">
        <v>-81.555225900222794</v>
      </c>
      <c r="BB78" s="51"/>
      <c r="BC78" s="69">
        <v>-57.920779386673708</v>
      </c>
      <c r="BD78" s="51"/>
      <c r="BE78" s="70">
        <v>-23.634446513549086</v>
      </c>
      <c r="BG78" s="67">
        <v>-34.5332779037469</v>
      </c>
      <c r="BH78" s="51"/>
      <c r="BI78" s="69">
        <v>-35.065900809945703</v>
      </c>
      <c r="BJ78" s="51"/>
      <c r="BK78" s="70">
        <v>0.53262290619880304</v>
      </c>
      <c r="BL78" s="53"/>
      <c r="BN78" s="67">
        <v>-9.0468418246272204</v>
      </c>
      <c r="BO78" s="51"/>
      <c r="BP78" s="69">
        <v>-9.0486671813385993</v>
      </c>
      <c r="BQ78" s="51"/>
      <c r="BR78" s="70">
        <v>1.8253567113788449E-3</v>
      </c>
      <c r="BS78" s="53"/>
    </row>
    <row r="79" spans="1:71" s="65" customFormat="1">
      <c r="A79" s="65" t="s">
        <v>340</v>
      </c>
      <c r="B79" s="65" t="s">
        <v>334</v>
      </c>
      <c r="C79" s="65" t="s">
        <v>335</v>
      </c>
      <c r="D79" s="97" t="s">
        <v>404</v>
      </c>
      <c r="E79" s="67">
        <v>821.46</v>
      </c>
      <c r="F79" s="68"/>
      <c r="G79" s="69">
        <v>814.82399999999996</v>
      </c>
      <c r="H79" s="68"/>
      <c r="I79" s="70">
        <v>6.6360000000000809</v>
      </c>
      <c r="J79" s="71"/>
      <c r="K79" s="67">
        <v>-780.73</v>
      </c>
      <c r="L79" s="68"/>
      <c r="M79" s="69">
        <v>-778.79200000000003</v>
      </c>
      <c r="N79" s="51"/>
      <c r="O79" s="70">
        <v>-1.9379999999999882</v>
      </c>
      <c r="P79" s="53"/>
      <c r="Q79" s="67">
        <v>40.729999999999997</v>
      </c>
      <c r="R79" s="51"/>
      <c r="S79" s="69">
        <v>37.031999999999897</v>
      </c>
      <c r="T79" s="51"/>
      <c r="U79" s="70">
        <v>3.6980000000000999</v>
      </c>
      <c r="V79" s="25"/>
      <c r="W79" s="67">
        <v>0</v>
      </c>
      <c r="X79" s="51"/>
      <c r="Y79" s="69">
        <v>0</v>
      </c>
      <c r="Z79" s="51"/>
      <c r="AA79" s="70">
        <v>0</v>
      </c>
      <c r="AB79" s="53"/>
      <c r="AC79" s="67">
        <v>0</v>
      </c>
      <c r="AD79" s="51"/>
      <c r="AE79" s="69">
        <v>0</v>
      </c>
      <c r="AF79" s="51"/>
      <c r="AG79" s="70">
        <v>0</v>
      </c>
      <c r="AH79" s="53"/>
      <c r="AI79" s="67">
        <v>0</v>
      </c>
      <c r="AJ79" s="51"/>
      <c r="AK79" s="69">
        <v>0</v>
      </c>
      <c r="AL79" s="51"/>
      <c r="AM79" s="70">
        <v>0</v>
      </c>
      <c r="AN79" s="53"/>
      <c r="AO79" s="67">
        <v>-18</v>
      </c>
      <c r="AP79" s="51"/>
      <c r="AQ79" s="69">
        <v>-20</v>
      </c>
      <c r="AR79" s="51"/>
      <c r="AS79" s="70">
        <v>2</v>
      </c>
      <c r="AT79" s="53"/>
      <c r="AU79" s="67">
        <v>-18</v>
      </c>
      <c r="AV79" s="51"/>
      <c r="AW79" s="69">
        <v>-20</v>
      </c>
      <c r="AX79" s="51"/>
      <c r="AY79" s="70">
        <v>2</v>
      </c>
      <c r="BA79" s="67">
        <v>58.73</v>
      </c>
      <c r="BB79" s="51"/>
      <c r="BC79" s="69">
        <v>57.031999999999897</v>
      </c>
      <c r="BD79" s="51"/>
      <c r="BE79" s="70">
        <v>1.6980000000000999</v>
      </c>
      <c r="BG79" s="67">
        <v>-17</v>
      </c>
      <c r="BH79" s="51"/>
      <c r="BI79" s="69">
        <v>-19</v>
      </c>
      <c r="BJ79" s="51"/>
      <c r="BK79" s="70">
        <v>2</v>
      </c>
      <c r="BL79" s="53"/>
      <c r="BN79" s="67">
        <v>-1</v>
      </c>
      <c r="BO79" s="51"/>
      <c r="BP79" s="69">
        <v>-1</v>
      </c>
      <c r="BQ79" s="51"/>
      <c r="BR79" s="70">
        <v>0</v>
      </c>
      <c r="BS79" s="53"/>
    </row>
    <row r="80" spans="1:71" s="65" customFormat="1">
      <c r="A80" s="65" t="s">
        <v>340</v>
      </c>
      <c r="B80" s="65" t="s">
        <v>280</v>
      </c>
      <c r="C80" s="65" t="s">
        <v>281</v>
      </c>
      <c r="D80" s="97" t="s">
        <v>391</v>
      </c>
      <c r="E80" s="67">
        <v>558.04300000000001</v>
      </c>
      <c r="F80" s="68"/>
      <c r="G80" s="69">
        <v>613.75800000000004</v>
      </c>
      <c r="H80" s="68"/>
      <c r="I80" s="70">
        <v>-55.715000000000032</v>
      </c>
      <c r="J80" s="71"/>
      <c r="K80" s="67">
        <v>-750.07100000000003</v>
      </c>
      <c r="L80" s="68"/>
      <c r="M80" s="69">
        <v>-724.65599999999995</v>
      </c>
      <c r="N80" s="51"/>
      <c r="O80" s="70">
        <v>-25.415000000000077</v>
      </c>
      <c r="P80" s="53"/>
      <c r="Q80" s="67">
        <v>-201.81800000000001</v>
      </c>
      <c r="R80" s="51"/>
      <c r="S80" s="69">
        <v>-112.794</v>
      </c>
      <c r="T80" s="51"/>
      <c r="U80" s="70">
        <v>-89.024000000000015</v>
      </c>
      <c r="V80" s="25"/>
      <c r="W80" s="67">
        <v>0</v>
      </c>
      <c r="X80" s="51"/>
      <c r="Y80" s="69">
        <v>0</v>
      </c>
      <c r="Z80" s="51"/>
      <c r="AA80" s="70">
        <v>0</v>
      </c>
      <c r="AB80" s="53"/>
      <c r="AC80" s="67">
        <v>0</v>
      </c>
      <c r="AD80" s="51"/>
      <c r="AE80" s="69">
        <v>0</v>
      </c>
      <c r="AF80" s="51"/>
      <c r="AG80" s="70">
        <v>0</v>
      </c>
      <c r="AH80" s="53"/>
      <c r="AI80" s="67">
        <v>0</v>
      </c>
      <c r="AJ80" s="51"/>
      <c r="AK80" s="69">
        <v>0</v>
      </c>
      <c r="AL80" s="51"/>
      <c r="AM80" s="70">
        <v>0</v>
      </c>
      <c r="AN80" s="53"/>
      <c r="AO80" s="67">
        <v>-33.009</v>
      </c>
      <c r="AP80" s="51"/>
      <c r="AQ80" s="69">
        <v>-31.216000000000001</v>
      </c>
      <c r="AR80" s="51"/>
      <c r="AS80" s="70">
        <v>-1.7929999999999993</v>
      </c>
      <c r="AT80" s="53"/>
      <c r="AU80" s="67">
        <v>-33.009</v>
      </c>
      <c r="AV80" s="51"/>
      <c r="AW80" s="69">
        <v>-31.216000000000001</v>
      </c>
      <c r="AX80" s="51"/>
      <c r="AY80" s="70">
        <v>-1.7929999999999993</v>
      </c>
      <c r="BA80" s="67">
        <v>-168.80900000000003</v>
      </c>
      <c r="BB80" s="51"/>
      <c r="BC80" s="69">
        <v>-81.578000000000003</v>
      </c>
      <c r="BD80" s="51"/>
      <c r="BE80" s="70">
        <v>-87.231000000000023</v>
      </c>
      <c r="BG80" s="67">
        <v>-26.088999999999999</v>
      </c>
      <c r="BH80" s="51"/>
      <c r="BI80" s="69">
        <v>-24.67</v>
      </c>
      <c r="BJ80" s="51"/>
      <c r="BK80" s="70">
        <v>-1.4189999999999969</v>
      </c>
      <c r="BL80" s="53"/>
      <c r="BN80" s="67">
        <v>-6.92</v>
      </c>
      <c r="BO80" s="51"/>
      <c r="BP80" s="69">
        <v>-6.5460000000000003</v>
      </c>
      <c r="BQ80" s="51"/>
      <c r="BR80" s="70">
        <v>-0.37399999999999967</v>
      </c>
      <c r="BS80" s="53"/>
    </row>
    <row r="81" spans="1:71" s="65" customFormat="1">
      <c r="A81" s="65" t="s">
        <v>340</v>
      </c>
      <c r="B81" s="65" t="s">
        <v>330</v>
      </c>
      <c r="C81" s="65" t="s">
        <v>331</v>
      </c>
      <c r="D81" s="97" t="s">
        <v>402</v>
      </c>
      <c r="E81" s="67">
        <v>420</v>
      </c>
      <c r="F81" s="68"/>
      <c r="G81" s="69">
        <v>441</v>
      </c>
      <c r="H81" s="68"/>
      <c r="I81" s="70">
        <v>-21</v>
      </c>
      <c r="J81" s="71"/>
      <c r="K81" s="67">
        <v>-572.97</v>
      </c>
      <c r="L81" s="68"/>
      <c r="M81" s="69">
        <v>-542.49300000000005</v>
      </c>
      <c r="N81" s="51"/>
      <c r="O81" s="70">
        <v>-30.476999999999975</v>
      </c>
      <c r="P81" s="53"/>
      <c r="Q81" s="67">
        <v>-152.97</v>
      </c>
      <c r="R81" s="51"/>
      <c r="S81" s="69">
        <v>-101.49299999999999</v>
      </c>
      <c r="T81" s="51"/>
      <c r="U81" s="70">
        <v>-51.477000000000004</v>
      </c>
      <c r="V81" s="25"/>
      <c r="W81" s="67">
        <v>0</v>
      </c>
      <c r="X81" s="51"/>
      <c r="Y81" s="69">
        <v>0</v>
      </c>
      <c r="Z81" s="51"/>
      <c r="AA81" s="70">
        <v>0</v>
      </c>
      <c r="AB81" s="53"/>
      <c r="AC81" s="67">
        <v>0</v>
      </c>
      <c r="AD81" s="51"/>
      <c r="AE81" s="69">
        <v>0</v>
      </c>
      <c r="AF81" s="51"/>
      <c r="AG81" s="70">
        <v>0</v>
      </c>
      <c r="AH81" s="53"/>
      <c r="AI81" s="67">
        <v>0</v>
      </c>
      <c r="AJ81" s="51"/>
      <c r="AK81" s="69">
        <v>0</v>
      </c>
      <c r="AL81" s="51"/>
      <c r="AM81" s="70">
        <v>0</v>
      </c>
      <c r="AN81" s="53"/>
      <c r="AO81" s="67">
        <v>-12.6</v>
      </c>
      <c r="AP81" s="51"/>
      <c r="AQ81" s="69">
        <v>-10.101000000000001</v>
      </c>
      <c r="AR81" s="51"/>
      <c r="AS81" s="70">
        <v>-2.4989999999999988</v>
      </c>
      <c r="AT81" s="53"/>
      <c r="AU81" s="67">
        <v>-12.6</v>
      </c>
      <c r="AV81" s="51"/>
      <c r="AW81" s="69">
        <v>-10.101000000000001</v>
      </c>
      <c r="AX81" s="51"/>
      <c r="AY81" s="70">
        <v>-2.4989999999999988</v>
      </c>
      <c r="BA81" s="67">
        <v>-140.37</v>
      </c>
      <c r="BB81" s="51"/>
      <c r="BC81" s="69">
        <v>-91.391999999999996</v>
      </c>
      <c r="BD81" s="51"/>
      <c r="BE81" s="70">
        <v>-48.978000000000009</v>
      </c>
      <c r="BG81" s="67">
        <v>-12.6</v>
      </c>
      <c r="BH81" s="51"/>
      <c r="BI81" s="69">
        <v>-10.101000000000001</v>
      </c>
      <c r="BJ81" s="51"/>
      <c r="BK81" s="70">
        <v>-2.4989999999999988</v>
      </c>
      <c r="BL81" s="53"/>
      <c r="BN81" s="67">
        <v>0</v>
      </c>
      <c r="BO81" s="51"/>
      <c r="BP81" s="69">
        <v>0</v>
      </c>
      <c r="BQ81" s="51"/>
      <c r="BR81" s="70">
        <v>0</v>
      </c>
      <c r="BS81" s="53"/>
    </row>
    <row r="82" spans="1:71" s="65" customFormat="1">
      <c r="A82" s="65" t="s">
        <v>340</v>
      </c>
      <c r="B82" s="65" t="s">
        <v>289</v>
      </c>
      <c r="C82" s="65" t="s">
        <v>290</v>
      </c>
      <c r="D82" s="97" t="s">
        <v>395</v>
      </c>
      <c r="E82" s="67">
        <v>778.87</v>
      </c>
      <c r="F82" s="68"/>
      <c r="G82" s="69">
        <v>586.62800000000004</v>
      </c>
      <c r="H82" s="68"/>
      <c r="I82" s="70">
        <v>192.24199999999996</v>
      </c>
      <c r="J82" s="71"/>
      <c r="K82" s="67">
        <v>-608.06799999999998</v>
      </c>
      <c r="L82" s="68"/>
      <c r="M82" s="69">
        <v>-591.08399999999995</v>
      </c>
      <c r="N82" s="51"/>
      <c r="O82" s="70">
        <v>-16.984000000000037</v>
      </c>
      <c r="P82" s="53"/>
      <c r="Q82" s="67">
        <v>170.80199999999999</v>
      </c>
      <c r="R82" s="51"/>
      <c r="S82" s="69">
        <v>-4.4559999999999098</v>
      </c>
      <c r="T82" s="51"/>
      <c r="U82" s="70">
        <v>175.2579999999999</v>
      </c>
      <c r="V82" s="25"/>
      <c r="W82" s="67">
        <v>0</v>
      </c>
      <c r="X82" s="51"/>
      <c r="Y82" s="69">
        <v>0</v>
      </c>
      <c r="Z82" s="51"/>
      <c r="AA82" s="70">
        <v>0</v>
      </c>
      <c r="AB82" s="53"/>
      <c r="AC82" s="67">
        <v>0</v>
      </c>
      <c r="AD82" s="51"/>
      <c r="AE82" s="69">
        <v>0</v>
      </c>
      <c r="AF82" s="51"/>
      <c r="AG82" s="70">
        <v>0</v>
      </c>
      <c r="AH82" s="53"/>
      <c r="AI82" s="67">
        <v>0</v>
      </c>
      <c r="AJ82" s="51"/>
      <c r="AK82" s="69">
        <v>0</v>
      </c>
      <c r="AL82" s="51"/>
      <c r="AM82" s="70">
        <v>0</v>
      </c>
      <c r="AN82" s="53"/>
      <c r="AO82" s="67">
        <v>-21.231000000000002</v>
      </c>
      <c r="AP82" s="51"/>
      <c r="AQ82" s="69">
        <v>-21.231000000000002</v>
      </c>
      <c r="AR82" s="51"/>
      <c r="AS82" s="70">
        <v>0</v>
      </c>
      <c r="AT82" s="53"/>
      <c r="AU82" s="67">
        <v>-21.231000000000002</v>
      </c>
      <c r="AV82" s="51"/>
      <c r="AW82" s="69">
        <v>-21.231000000000002</v>
      </c>
      <c r="AX82" s="51"/>
      <c r="AY82" s="70">
        <v>0</v>
      </c>
      <c r="BA82" s="67">
        <v>192.03299999999999</v>
      </c>
      <c r="BB82" s="51"/>
      <c r="BC82" s="69">
        <v>16.775000000000091</v>
      </c>
      <c r="BD82" s="51"/>
      <c r="BE82" s="70">
        <v>175.2579999999999</v>
      </c>
      <c r="BG82" s="67">
        <v>-21.231000000000002</v>
      </c>
      <c r="BH82" s="51"/>
      <c r="BI82" s="69">
        <v>-21.231000000000002</v>
      </c>
      <c r="BJ82" s="51"/>
      <c r="BK82" s="70">
        <v>0</v>
      </c>
      <c r="BL82" s="53"/>
      <c r="BN82" s="67">
        <v>0</v>
      </c>
      <c r="BO82" s="51"/>
      <c r="BP82" s="69">
        <v>0</v>
      </c>
      <c r="BQ82" s="51"/>
      <c r="BR82" s="70">
        <v>0</v>
      </c>
      <c r="BS82" s="53"/>
    </row>
    <row r="83" spans="1:71" s="44" customFormat="1">
      <c r="A83" s="65"/>
      <c r="B83" s="65"/>
      <c r="C83" s="65"/>
      <c r="D83" s="86" t="s">
        <v>407</v>
      </c>
      <c r="E83" s="87">
        <v>7.2724155682198131</v>
      </c>
      <c r="F83" s="47"/>
      <c r="G83" s="88">
        <v>-17.773966974869566</v>
      </c>
      <c r="H83" s="47"/>
      <c r="I83" s="89">
        <v>25.046382543089379</v>
      </c>
      <c r="K83" s="87">
        <v>251.03517182175312</v>
      </c>
      <c r="L83" s="47"/>
      <c r="M83" s="88">
        <v>54.448365427632098</v>
      </c>
      <c r="N83" s="51"/>
      <c r="O83" s="90">
        <v>196.58680639412103</v>
      </c>
      <c r="P83" s="53"/>
      <c r="Q83" s="87">
        <v>258.30758738997287</v>
      </c>
      <c r="R83" s="47"/>
      <c r="S83" s="88">
        <v>36.674398452762603</v>
      </c>
      <c r="T83" s="51"/>
      <c r="U83" s="90">
        <v>221.63318893721026</v>
      </c>
      <c r="V83" s="25"/>
      <c r="W83" s="87">
        <v>584.54</v>
      </c>
      <c r="X83" s="47"/>
      <c r="Y83" s="88">
        <v>769.27</v>
      </c>
      <c r="Z83" s="51"/>
      <c r="AA83" s="89">
        <v>-184.73000000000002</v>
      </c>
      <c r="AB83" s="53"/>
      <c r="AC83" s="87">
        <v>0</v>
      </c>
      <c r="AD83" s="47"/>
      <c r="AE83" s="88">
        <v>0</v>
      </c>
      <c r="AF83" s="51"/>
      <c r="AG83" s="89">
        <v>0</v>
      </c>
      <c r="AH83" s="53"/>
      <c r="AI83" s="87">
        <v>0</v>
      </c>
      <c r="AJ83" s="47"/>
      <c r="AK83" s="88">
        <v>0</v>
      </c>
      <c r="AL83" s="51"/>
      <c r="AM83" s="89">
        <v>0</v>
      </c>
      <c r="AN83" s="53"/>
      <c r="AO83" s="87">
        <v>0</v>
      </c>
      <c r="AP83" s="47"/>
      <c r="AQ83" s="88">
        <v>0</v>
      </c>
      <c r="AR83" s="51"/>
      <c r="AS83" s="89">
        <v>0</v>
      </c>
      <c r="AT83" s="53"/>
      <c r="AU83" s="87">
        <v>584.54</v>
      </c>
      <c r="AV83" s="47"/>
      <c r="AW83" s="88">
        <v>769.27</v>
      </c>
      <c r="AX83" s="51"/>
      <c r="AY83" s="89">
        <v>-184.73000000000002</v>
      </c>
      <c r="BA83" s="87">
        <v>258.30758738997287</v>
      </c>
      <c r="BB83" s="47"/>
      <c r="BC83" s="88">
        <v>36.674398452762603</v>
      </c>
      <c r="BD83" s="51"/>
      <c r="BE83" s="89">
        <v>221.63318893721026</v>
      </c>
      <c r="BG83" s="87">
        <v>0</v>
      </c>
      <c r="BH83" s="47"/>
      <c r="BI83" s="88">
        <v>0</v>
      </c>
      <c r="BJ83" s="51"/>
      <c r="BK83" s="89">
        <v>0</v>
      </c>
      <c r="BL83" s="53"/>
      <c r="BN83" s="87">
        <v>0</v>
      </c>
      <c r="BO83" s="47"/>
      <c r="BP83" s="88">
        <v>0</v>
      </c>
      <c r="BQ83" s="51"/>
      <c r="BR83" s="89">
        <v>0</v>
      </c>
      <c r="BS83" s="53"/>
    </row>
    <row r="84" spans="1:71" s="44" customFormat="1" outlineLevel="1">
      <c r="A84" s="65" t="s">
        <v>345</v>
      </c>
      <c r="B84" s="65" t="s">
        <v>346</v>
      </c>
      <c r="C84" s="65" t="s">
        <v>347</v>
      </c>
      <c r="D84" s="130" t="s">
        <v>408</v>
      </c>
      <c r="E84" s="67">
        <v>-2.15</v>
      </c>
      <c r="F84" s="68"/>
      <c r="G84" s="69">
        <v>-1.673</v>
      </c>
      <c r="H84" s="68"/>
      <c r="I84" s="70">
        <v>-0.47699999999999987</v>
      </c>
      <c r="J84" s="71"/>
      <c r="K84" s="67">
        <v>-212.42599999999999</v>
      </c>
      <c r="L84" s="68"/>
      <c r="M84" s="69">
        <v>-237.07499999999999</v>
      </c>
      <c r="N84" s="51"/>
      <c r="O84" s="70">
        <v>24.649000000000001</v>
      </c>
      <c r="P84" s="53"/>
      <c r="Q84" s="67">
        <v>-214.57599999999999</v>
      </c>
      <c r="R84" s="51"/>
      <c r="S84" s="69">
        <v>-238.74799999999999</v>
      </c>
      <c r="T84" s="51"/>
      <c r="U84" s="70">
        <v>24.171999999999997</v>
      </c>
      <c r="V84" s="25"/>
      <c r="W84" s="67">
        <v>0</v>
      </c>
      <c r="X84" s="51"/>
      <c r="Y84" s="69">
        <v>0</v>
      </c>
      <c r="Z84" s="51"/>
      <c r="AA84" s="70">
        <v>0</v>
      </c>
      <c r="AB84" s="53"/>
      <c r="AC84" s="67">
        <v>0</v>
      </c>
      <c r="AD84" s="51"/>
      <c r="AE84" s="69">
        <v>0</v>
      </c>
      <c r="AF84" s="51"/>
      <c r="AG84" s="70">
        <v>0</v>
      </c>
      <c r="AH84" s="53"/>
      <c r="AI84" s="67">
        <v>0</v>
      </c>
      <c r="AJ84" s="51"/>
      <c r="AK84" s="69">
        <v>0</v>
      </c>
      <c r="AL84" s="51"/>
      <c r="AM84" s="70">
        <v>0</v>
      </c>
      <c r="AN84" s="53"/>
      <c r="AO84" s="67">
        <v>0</v>
      </c>
      <c r="AP84" s="51"/>
      <c r="AQ84" s="69">
        <v>0</v>
      </c>
      <c r="AR84" s="51"/>
      <c r="AS84" s="70">
        <v>0</v>
      </c>
      <c r="AT84" s="53"/>
      <c r="AU84" s="67">
        <v>0</v>
      </c>
      <c r="AV84" s="51"/>
      <c r="AW84" s="69">
        <v>0</v>
      </c>
      <c r="AX84" s="51"/>
      <c r="AY84" s="70">
        <v>0</v>
      </c>
      <c r="BA84" s="67">
        <v>-214.57599999999999</v>
      </c>
      <c r="BB84" s="51"/>
      <c r="BC84" s="69">
        <v>-238.74799999999999</v>
      </c>
      <c r="BD84" s="51"/>
      <c r="BE84" s="70">
        <v>24.171999999999997</v>
      </c>
      <c r="BG84" s="67">
        <v>0</v>
      </c>
      <c r="BH84" s="51"/>
      <c r="BI84" s="69">
        <v>0</v>
      </c>
      <c r="BJ84" s="51"/>
      <c r="BK84" s="70">
        <v>0</v>
      </c>
      <c r="BL84" s="53"/>
      <c r="BN84" s="67">
        <v>0</v>
      </c>
      <c r="BO84" s="51"/>
      <c r="BP84" s="69">
        <v>0</v>
      </c>
      <c r="BQ84" s="51"/>
      <c r="BR84" s="70">
        <v>0</v>
      </c>
      <c r="BS84" s="53"/>
    </row>
    <row r="85" spans="1:71" s="44" customFormat="1" outlineLevel="1">
      <c r="A85" s="65" t="s">
        <v>345</v>
      </c>
      <c r="B85" s="65" t="s">
        <v>348</v>
      </c>
      <c r="C85" s="65" t="s">
        <v>347</v>
      </c>
      <c r="D85" s="130" t="s">
        <v>409</v>
      </c>
      <c r="E85" s="67">
        <v>10.36</v>
      </c>
      <c r="F85" s="68"/>
      <c r="G85" s="69">
        <v>-15.122999999999999</v>
      </c>
      <c r="H85" s="68"/>
      <c r="I85" s="70">
        <v>25.482999999999997</v>
      </c>
      <c r="J85" s="71"/>
      <c r="K85" s="67">
        <v>-133.1</v>
      </c>
      <c r="L85" s="68"/>
      <c r="M85" s="69">
        <v>-223.35400000000001</v>
      </c>
      <c r="N85" s="51"/>
      <c r="O85" s="70">
        <v>90.254000000000019</v>
      </c>
      <c r="P85" s="53"/>
      <c r="Q85" s="67">
        <v>-122.74</v>
      </c>
      <c r="R85" s="51"/>
      <c r="S85" s="69">
        <v>-238.477</v>
      </c>
      <c r="T85" s="51"/>
      <c r="U85" s="70">
        <v>115.73700000000001</v>
      </c>
      <c r="V85" s="25"/>
      <c r="W85" s="67">
        <v>0</v>
      </c>
      <c r="X85" s="51"/>
      <c r="Y85" s="69">
        <v>0</v>
      </c>
      <c r="Z85" s="51"/>
      <c r="AA85" s="70">
        <v>0</v>
      </c>
      <c r="AB85" s="53"/>
      <c r="AC85" s="67">
        <v>0</v>
      </c>
      <c r="AD85" s="51"/>
      <c r="AE85" s="69">
        <v>0</v>
      </c>
      <c r="AF85" s="51"/>
      <c r="AG85" s="70">
        <v>0</v>
      </c>
      <c r="AH85" s="53"/>
      <c r="AI85" s="67">
        <v>0</v>
      </c>
      <c r="AJ85" s="51"/>
      <c r="AK85" s="69">
        <v>0</v>
      </c>
      <c r="AL85" s="51"/>
      <c r="AM85" s="70">
        <v>0</v>
      </c>
      <c r="AN85" s="53"/>
      <c r="AO85" s="67">
        <v>0</v>
      </c>
      <c r="AP85" s="51"/>
      <c r="AQ85" s="69">
        <v>0</v>
      </c>
      <c r="AR85" s="51"/>
      <c r="AS85" s="70">
        <v>0</v>
      </c>
      <c r="AT85" s="53"/>
      <c r="AU85" s="67">
        <v>0</v>
      </c>
      <c r="AV85" s="51"/>
      <c r="AW85" s="69">
        <v>0</v>
      </c>
      <c r="AX85" s="51"/>
      <c r="AY85" s="70">
        <v>0</v>
      </c>
      <c r="BA85" s="67">
        <v>-122.74</v>
      </c>
      <c r="BB85" s="51"/>
      <c r="BC85" s="69">
        <v>-238.477</v>
      </c>
      <c r="BD85" s="51"/>
      <c r="BE85" s="70">
        <v>115.73700000000001</v>
      </c>
      <c r="BG85" s="67">
        <v>0</v>
      </c>
      <c r="BH85" s="51"/>
      <c r="BI85" s="69">
        <v>0</v>
      </c>
      <c r="BJ85" s="51"/>
      <c r="BK85" s="70">
        <v>0</v>
      </c>
      <c r="BL85" s="53"/>
      <c r="BN85" s="67">
        <v>0</v>
      </c>
      <c r="BO85" s="51"/>
      <c r="BP85" s="69">
        <v>0</v>
      </c>
      <c r="BQ85" s="51"/>
      <c r="BR85" s="70">
        <v>0</v>
      </c>
      <c r="BS85" s="53"/>
    </row>
    <row r="86" spans="1:71" s="44" customFormat="1" outlineLevel="1">
      <c r="A86" s="65" t="s">
        <v>345</v>
      </c>
      <c r="B86" s="65" t="s">
        <v>349</v>
      </c>
      <c r="C86" s="65" t="s">
        <v>347</v>
      </c>
      <c r="D86" s="130" t="s">
        <v>410</v>
      </c>
      <c r="E86" s="67">
        <v>-0.93758443178018602</v>
      </c>
      <c r="F86" s="68"/>
      <c r="G86" s="69">
        <v>-0.97796697486956596</v>
      </c>
      <c r="H86" s="68"/>
      <c r="I86" s="70">
        <v>4.0382543089379941E-2</v>
      </c>
      <c r="J86" s="71"/>
      <c r="K86" s="67">
        <v>12.0211718217531</v>
      </c>
      <c r="L86" s="68"/>
      <c r="M86" s="69">
        <v>-62.069634572367903</v>
      </c>
      <c r="N86" s="51"/>
      <c r="O86" s="70">
        <v>74.090806394121003</v>
      </c>
      <c r="P86" s="53"/>
      <c r="Q86" s="67">
        <v>11.0835873899729</v>
      </c>
      <c r="R86" s="51"/>
      <c r="S86" s="69">
        <v>-63.047601547237399</v>
      </c>
      <c r="T86" s="51"/>
      <c r="U86" s="70">
        <v>74.131188937210297</v>
      </c>
      <c r="V86" s="25"/>
      <c r="W86" s="67">
        <v>0</v>
      </c>
      <c r="X86" s="51"/>
      <c r="Y86" s="69">
        <v>0</v>
      </c>
      <c r="Z86" s="51"/>
      <c r="AA86" s="70">
        <v>0</v>
      </c>
      <c r="AB86" s="53"/>
      <c r="AC86" s="67">
        <v>0</v>
      </c>
      <c r="AD86" s="51"/>
      <c r="AE86" s="69">
        <v>0</v>
      </c>
      <c r="AF86" s="51"/>
      <c r="AG86" s="70">
        <v>0</v>
      </c>
      <c r="AH86" s="53"/>
      <c r="AI86" s="67">
        <v>0</v>
      </c>
      <c r="AJ86" s="51"/>
      <c r="AK86" s="69">
        <v>0</v>
      </c>
      <c r="AL86" s="51"/>
      <c r="AM86" s="70">
        <v>0</v>
      </c>
      <c r="AN86" s="53"/>
      <c r="AO86" s="67">
        <v>0</v>
      </c>
      <c r="AP86" s="51"/>
      <c r="AQ86" s="69">
        <v>0</v>
      </c>
      <c r="AR86" s="51"/>
      <c r="AS86" s="70">
        <v>0</v>
      </c>
      <c r="AT86" s="53"/>
      <c r="AU86" s="67">
        <v>0</v>
      </c>
      <c r="AV86" s="51"/>
      <c r="AW86" s="69">
        <v>0</v>
      </c>
      <c r="AX86" s="51"/>
      <c r="AY86" s="70">
        <v>0</v>
      </c>
      <c r="BA86" s="67">
        <v>11.0835873899729</v>
      </c>
      <c r="BB86" s="51"/>
      <c r="BC86" s="69">
        <v>-63.047601547237399</v>
      </c>
      <c r="BD86" s="51"/>
      <c r="BE86" s="70">
        <v>74.131188937210297</v>
      </c>
      <c r="BG86" s="67">
        <v>0</v>
      </c>
      <c r="BH86" s="51"/>
      <c r="BI86" s="69">
        <v>0</v>
      </c>
      <c r="BJ86" s="51"/>
      <c r="BK86" s="70">
        <v>0</v>
      </c>
      <c r="BL86" s="53"/>
      <c r="BN86" s="67">
        <v>0</v>
      </c>
      <c r="BO86" s="51"/>
      <c r="BP86" s="69">
        <v>0</v>
      </c>
      <c r="BQ86" s="51"/>
      <c r="BR86" s="70">
        <v>0</v>
      </c>
      <c r="BS86" s="53"/>
    </row>
    <row r="87" spans="1:71" s="44" customFormat="1" outlineLevel="1">
      <c r="A87" s="65" t="s">
        <v>350</v>
      </c>
      <c r="B87" s="65" t="s">
        <v>337</v>
      </c>
      <c r="C87" s="65" t="s">
        <v>262</v>
      </c>
      <c r="D87" s="130" t="s">
        <v>411</v>
      </c>
      <c r="E87" s="67">
        <v>0</v>
      </c>
      <c r="F87" s="68"/>
      <c r="G87" s="69">
        <v>0</v>
      </c>
      <c r="H87" s="68"/>
      <c r="I87" s="70">
        <v>0</v>
      </c>
      <c r="J87" s="71"/>
      <c r="K87" s="259">
        <v>584.54</v>
      </c>
      <c r="L87" s="68"/>
      <c r="M87" s="69">
        <v>576.947</v>
      </c>
      <c r="N87" s="51"/>
      <c r="O87" s="70">
        <v>7.5929999999999609</v>
      </c>
      <c r="P87" s="53"/>
      <c r="Q87" s="67">
        <v>584.54</v>
      </c>
      <c r="R87" s="51"/>
      <c r="S87" s="69">
        <v>576.947</v>
      </c>
      <c r="T87" s="51"/>
      <c r="U87" s="70">
        <v>7.5929999999999609</v>
      </c>
      <c r="V87" s="25"/>
      <c r="W87" s="67">
        <v>584.54</v>
      </c>
      <c r="X87" s="51"/>
      <c r="Y87" s="69">
        <v>769.27</v>
      </c>
      <c r="Z87" s="51"/>
      <c r="AA87" s="70">
        <v>-184.73000000000002</v>
      </c>
      <c r="AB87" s="53"/>
      <c r="AC87" s="67">
        <v>0</v>
      </c>
      <c r="AD87" s="51"/>
      <c r="AE87" s="69">
        <v>0</v>
      </c>
      <c r="AF87" s="51"/>
      <c r="AG87" s="70">
        <v>0</v>
      </c>
      <c r="AH87" s="53"/>
      <c r="AI87" s="67">
        <v>0</v>
      </c>
      <c r="AJ87" s="51"/>
      <c r="AK87" s="69">
        <v>0</v>
      </c>
      <c r="AL87" s="51"/>
      <c r="AM87" s="70">
        <v>0</v>
      </c>
      <c r="AN87" s="53"/>
      <c r="AO87" s="67">
        <v>0</v>
      </c>
      <c r="AP87" s="51"/>
      <c r="AQ87" s="69">
        <v>0</v>
      </c>
      <c r="AR87" s="51"/>
      <c r="AS87" s="70">
        <v>0</v>
      </c>
      <c r="AT87" s="53"/>
      <c r="AU87" s="67">
        <v>584.54</v>
      </c>
      <c r="AV87" s="51"/>
      <c r="AW87" s="69">
        <v>769.27</v>
      </c>
      <c r="AX87" s="51"/>
      <c r="AY87" s="70">
        <v>-184.73000000000002</v>
      </c>
      <c r="BA87" s="67">
        <v>584.54</v>
      </c>
      <c r="BB87" s="51"/>
      <c r="BC87" s="69">
        <v>576.947</v>
      </c>
      <c r="BD87" s="51"/>
      <c r="BE87" s="70">
        <v>7.5929999999999609</v>
      </c>
      <c r="BG87" s="67">
        <v>0</v>
      </c>
      <c r="BH87" s="51"/>
      <c r="BI87" s="69">
        <v>0</v>
      </c>
      <c r="BJ87" s="51"/>
      <c r="BK87" s="70">
        <v>0</v>
      </c>
      <c r="BL87" s="53"/>
      <c r="BN87" s="67">
        <v>0</v>
      </c>
      <c r="BO87" s="51"/>
      <c r="BP87" s="69">
        <v>0</v>
      </c>
      <c r="BQ87" s="51"/>
      <c r="BR87" s="70">
        <v>0</v>
      </c>
      <c r="BS87" s="53"/>
    </row>
    <row r="88" spans="1:71" s="44" customFormat="1">
      <c r="A88" s="65"/>
      <c r="B88" s="65"/>
      <c r="C88" s="65"/>
      <c r="D88" s="86" t="s">
        <v>351</v>
      </c>
      <c r="E88" s="87">
        <v>1729.95</v>
      </c>
      <c r="F88" s="47"/>
      <c r="G88" s="88">
        <v>2120.306</v>
      </c>
      <c r="H88" s="47" t="e">
        <v>#REF!</v>
      </c>
      <c r="I88" s="89">
        <v>-390.35599999999999</v>
      </c>
      <c r="K88" s="87">
        <v>-4149.5679999999993</v>
      </c>
      <c r="L88" s="47"/>
      <c r="M88" s="88">
        <v>-6514.0210000000006</v>
      </c>
      <c r="N88" s="51" t="e">
        <v>#REF!</v>
      </c>
      <c r="O88" s="52">
        <v>2364.4530000000013</v>
      </c>
      <c r="P88" s="53"/>
      <c r="Q88" s="87">
        <v>-2419.6180000000095</v>
      </c>
      <c r="R88" s="47"/>
      <c r="S88" s="88">
        <v>-4393.7150000000001</v>
      </c>
      <c r="T88" s="51" t="e">
        <v>#REF!</v>
      </c>
      <c r="U88" s="89">
        <v>1974.0969999999907</v>
      </c>
      <c r="V88" s="25"/>
      <c r="W88" s="87">
        <v>0</v>
      </c>
      <c r="X88" s="47"/>
      <c r="Y88" s="88">
        <v>0</v>
      </c>
      <c r="Z88" s="51" t="e">
        <v>#REF!</v>
      </c>
      <c r="AA88" s="89">
        <v>0</v>
      </c>
      <c r="AB88" s="53"/>
      <c r="AC88" s="87">
        <v>0</v>
      </c>
      <c r="AD88" s="47"/>
      <c r="AE88" s="88">
        <v>0</v>
      </c>
      <c r="AF88" s="51" t="e">
        <v>#REF!</v>
      </c>
      <c r="AG88" s="89">
        <v>0</v>
      </c>
      <c r="AH88" s="53"/>
      <c r="AI88" s="87">
        <v>0</v>
      </c>
      <c r="AJ88" s="47"/>
      <c r="AK88" s="88">
        <v>0</v>
      </c>
      <c r="AL88" s="51" t="e">
        <v>#REF!</v>
      </c>
      <c r="AM88" s="89">
        <v>0</v>
      </c>
      <c r="AN88" s="53"/>
      <c r="AO88" s="87">
        <v>15234.97</v>
      </c>
      <c r="AP88" s="47"/>
      <c r="AQ88" s="88">
        <v>16287.64</v>
      </c>
      <c r="AR88" s="51" t="e">
        <v>#REF!</v>
      </c>
      <c r="AS88" s="89">
        <v>-1052.67</v>
      </c>
      <c r="AT88" s="53"/>
      <c r="AU88" s="87">
        <v>15234.97</v>
      </c>
      <c r="AV88" s="47"/>
      <c r="AW88" s="88">
        <v>16287.64</v>
      </c>
      <c r="AX88" s="51" t="e">
        <v>#REF!</v>
      </c>
      <c r="AY88" s="89">
        <v>-1052.67</v>
      </c>
      <c r="BA88" s="87">
        <v>-17654.588000000011</v>
      </c>
      <c r="BB88" s="47"/>
      <c r="BC88" s="88">
        <v>-20681.355</v>
      </c>
      <c r="BD88" s="51"/>
      <c r="BE88" s="70">
        <v>3026.7669999999889</v>
      </c>
      <c r="BG88" s="87">
        <v>16425.919999999998</v>
      </c>
      <c r="BH88" s="47"/>
      <c r="BI88" s="88">
        <v>17469</v>
      </c>
      <c r="BJ88" s="51" t="e">
        <v>#REF!</v>
      </c>
      <c r="BK88" s="89">
        <v>-1043.0800000000017</v>
      </c>
      <c r="BL88" s="53"/>
      <c r="BN88" s="87">
        <v>-1190.95</v>
      </c>
      <c r="BO88" s="47"/>
      <c r="BP88" s="88">
        <v>-1181.3599999999999</v>
      </c>
      <c r="BQ88" s="51" t="e">
        <v>#REF!</v>
      </c>
      <c r="BR88" s="89">
        <v>-9.5900000000001455</v>
      </c>
      <c r="BS88" s="53"/>
    </row>
    <row r="89" spans="1:71" s="44" customFormat="1" outlineLevel="1">
      <c r="A89" s="65" t="s">
        <v>352</v>
      </c>
      <c r="B89" s="65" t="s">
        <v>337</v>
      </c>
      <c r="C89" s="65" t="s">
        <v>262</v>
      </c>
      <c r="D89" s="130" t="s">
        <v>353</v>
      </c>
      <c r="E89" s="67">
        <v>1729.95</v>
      </c>
      <c r="F89" s="68"/>
      <c r="G89" s="69">
        <v>2120.306</v>
      </c>
      <c r="H89" s="68"/>
      <c r="I89" s="70">
        <v>-390.35599999999999</v>
      </c>
      <c r="J89" s="71"/>
      <c r="K89" s="259">
        <v>-10933.495999999999</v>
      </c>
      <c r="L89" s="68"/>
      <c r="M89" s="69">
        <v>-13297.949000000001</v>
      </c>
      <c r="N89" s="51"/>
      <c r="O89" s="70">
        <v>2364.4530000000013</v>
      </c>
      <c r="P89" s="53"/>
      <c r="Q89" s="67">
        <v>-9203.5460000000094</v>
      </c>
      <c r="R89" s="51"/>
      <c r="S89" s="69">
        <v>-11177.643</v>
      </c>
      <c r="T89" s="51"/>
      <c r="U89" s="70">
        <v>1974.0969999999907</v>
      </c>
      <c r="V89" s="25"/>
      <c r="W89" s="67">
        <v>0</v>
      </c>
      <c r="X89" s="51"/>
      <c r="Y89" s="69">
        <v>0</v>
      </c>
      <c r="Z89" s="51"/>
      <c r="AA89" s="70">
        <v>0</v>
      </c>
      <c r="AB89" s="53"/>
      <c r="AC89" s="67">
        <v>0</v>
      </c>
      <c r="AD89" s="51"/>
      <c r="AE89" s="69">
        <v>0</v>
      </c>
      <c r="AF89" s="51"/>
      <c r="AG89" s="70">
        <v>0</v>
      </c>
      <c r="AH89" s="53"/>
      <c r="AI89" s="67">
        <v>0</v>
      </c>
      <c r="AJ89" s="51"/>
      <c r="AK89" s="69">
        <v>0</v>
      </c>
      <c r="AL89" s="51"/>
      <c r="AM89" s="70">
        <v>0</v>
      </c>
      <c r="AN89" s="53"/>
      <c r="AO89" s="67">
        <v>15234.97</v>
      </c>
      <c r="AP89" s="51"/>
      <c r="AQ89" s="69">
        <v>16287.64</v>
      </c>
      <c r="AR89" s="51"/>
      <c r="AS89" s="70">
        <v>-1052.67</v>
      </c>
      <c r="AT89" s="53"/>
      <c r="AU89" s="67">
        <v>15234.97</v>
      </c>
      <c r="AV89" s="51"/>
      <c r="AW89" s="69">
        <v>16287.64</v>
      </c>
      <c r="AX89" s="51"/>
      <c r="AY89" s="70">
        <v>-1052.67</v>
      </c>
      <c r="BA89" s="67">
        <v>-24438.516000000011</v>
      </c>
      <c r="BB89" s="51"/>
      <c r="BC89" s="69">
        <v>-27465.282999999999</v>
      </c>
      <c r="BD89" s="51"/>
      <c r="BE89" s="70">
        <v>3026.7669999999889</v>
      </c>
      <c r="BG89" s="67">
        <v>16425.919999999998</v>
      </c>
      <c r="BH89" s="51"/>
      <c r="BI89" s="69">
        <v>17469</v>
      </c>
      <c r="BJ89" s="51"/>
      <c r="BK89" s="70">
        <v>-1043.0800000000017</v>
      </c>
      <c r="BL89" s="53"/>
      <c r="BN89" s="67">
        <v>-1190.95</v>
      </c>
      <c r="BO89" s="51"/>
      <c r="BP89" s="69">
        <v>-1181.3599999999999</v>
      </c>
      <c r="BQ89" s="51"/>
      <c r="BR89" s="70">
        <v>-9.5900000000001455</v>
      </c>
      <c r="BS89" s="53"/>
    </row>
    <row r="90" spans="1:71" s="44" customFormat="1" outlineLevel="1">
      <c r="A90" s="65"/>
      <c r="B90" s="65"/>
      <c r="C90" s="65" t="s">
        <v>354</v>
      </c>
      <c r="D90" s="97" t="s">
        <v>412</v>
      </c>
      <c r="E90" s="87"/>
      <c r="F90" s="47"/>
      <c r="G90" s="88"/>
      <c r="H90" s="47"/>
      <c r="I90" s="70">
        <v>0</v>
      </c>
      <c r="K90" s="67">
        <v>6783.9279999999999</v>
      </c>
      <c r="L90" s="68"/>
      <c r="M90" s="69">
        <v>6783.9279999999999</v>
      </c>
      <c r="N90" s="51"/>
      <c r="O90" s="70">
        <v>0</v>
      </c>
      <c r="P90" s="53"/>
      <c r="Q90" s="67">
        <v>6783.9279999999999</v>
      </c>
      <c r="R90" s="51"/>
      <c r="S90" s="69">
        <v>6783.9279999999999</v>
      </c>
      <c r="T90" s="51"/>
      <c r="U90" s="70">
        <v>0</v>
      </c>
      <c r="V90" s="25"/>
      <c r="W90" s="67"/>
      <c r="X90" s="51"/>
      <c r="Y90" s="69"/>
      <c r="Z90" s="51"/>
      <c r="AA90" s="70">
        <v>0</v>
      </c>
      <c r="AB90" s="53"/>
      <c r="AC90" s="67"/>
      <c r="AD90" s="51"/>
      <c r="AE90" s="69"/>
      <c r="AF90" s="51"/>
      <c r="AG90" s="70">
        <v>0</v>
      </c>
      <c r="AH90" s="53"/>
      <c r="AI90" s="67"/>
      <c r="AJ90" s="51"/>
      <c r="AK90" s="69"/>
      <c r="AL90" s="51"/>
      <c r="AM90" s="70">
        <v>0</v>
      </c>
      <c r="AN90" s="53"/>
      <c r="AO90" s="67"/>
      <c r="AP90" s="51"/>
      <c r="AQ90" s="69"/>
      <c r="AR90" s="51"/>
      <c r="AS90" s="70">
        <v>0</v>
      </c>
      <c r="AT90" s="53"/>
      <c r="AU90" s="67">
        <v>0</v>
      </c>
      <c r="AV90" s="51"/>
      <c r="AW90" s="69">
        <v>0</v>
      </c>
      <c r="AX90" s="51"/>
      <c r="AY90" s="70">
        <v>0</v>
      </c>
      <c r="BA90" s="67">
        <v>6783.9279999999999</v>
      </c>
      <c r="BB90" s="51"/>
      <c r="BC90" s="69">
        <v>6783.9279999999999</v>
      </c>
      <c r="BD90" s="51"/>
      <c r="BE90" s="70">
        <v>0</v>
      </c>
      <c r="BG90" s="67"/>
      <c r="BH90" s="51"/>
      <c r="BI90" s="69"/>
      <c r="BJ90" s="51"/>
      <c r="BK90" s="70">
        <v>0</v>
      </c>
      <c r="BL90" s="53"/>
      <c r="BN90" s="67"/>
      <c r="BO90" s="51"/>
      <c r="BP90" s="69"/>
      <c r="BQ90" s="51"/>
      <c r="BR90" s="70">
        <v>0</v>
      </c>
      <c r="BS90" s="53"/>
    </row>
    <row r="91" spans="1:71" s="44" customFormat="1" outlineLevel="1" collapsed="1">
      <c r="A91" s="65" t="s">
        <v>355</v>
      </c>
      <c r="B91" s="65" t="s">
        <v>277</v>
      </c>
      <c r="C91" s="65" t="s">
        <v>278</v>
      </c>
      <c r="D91" s="86" t="s">
        <v>413</v>
      </c>
      <c r="E91" s="87">
        <v>0</v>
      </c>
      <c r="F91" s="47"/>
      <c r="G91" s="88">
        <v>0</v>
      </c>
      <c r="H91" s="47"/>
      <c r="I91" s="89">
        <v>0</v>
      </c>
      <c r="K91" s="87">
        <v>100.98399999999999</v>
      </c>
      <c r="L91" s="47"/>
      <c r="M91" s="88">
        <v>97.055999999999997</v>
      </c>
      <c r="N91" s="51"/>
      <c r="O91" s="52">
        <v>3.9279999999999973</v>
      </c>
      <c r="P91" s="53"/>
      <c r="Q91" s="87">
        <v>100.98399999999999</v>
      </c>
      <c r="R91" s="51"/>
      <c r="S91" s="88">
        <v>97.055999999999997</v>
      </c>
      <c r="T91" s="51"/>
      <c r="U91" s="89">
        <v>3.9279999999999973</v>
      </c>
      <c r="V91" s="25"/>
      <c r="W91" s="87">
        <v>0</v>
      </c>
      <c r="X91" s="51"/>
      <c r="Y91" s="88">
        <v>0</v>
      </c>
      <c r="Z91" s="51"/>
      <c r="AA91" s="89">
        <v>0</v>
      </c>
      <c r="AB91" s="53"/>
      <c r="AC91" s="87">
        <v>0</v>
      </c>
      <c r="AD91" s="51"/>
      <c r="AE91" s="88">
        <v>0</v>
      </c>
      <c r="AF91" s="51"/>
      <c r="AG91" s="89">
        <v>0</v>
      </c>
      <c r="AH91" s="53"/>
      <c r="AI91" s="87">
        <v>0</v>
      </c>
      <c r="AJ91" s="51"/>
      <c r="AK91" s="88">
        <v>0</v>
      </c>
      <c r="AL91" s="51"/>
      <c r="AM91" s="89">
        <v>0</v>
      </c>
      <c r="AN91" s="53"/>
      <c r="AO91" s="87">
        <v>0</v>
      </c>
      <c r="AP91" s="51"/>
      <c r="AQ91" s="88">
        <v>0</v>
      </c>
      <c r="AR91" s="51"/>
      <c r="AS91" s="89">
        <v>0</v>
      </c>
      <c r="AT91" s="53"/>
      <c r="AU91" s="87">
        <v>0</v>
      </c>
      <c r="AV91" s="51"/>
      <c r="AW91" s="88">
        <v>0</v>
      </c>
      <c r="AX91" s="51"/>
      <c r="AY91" s="89">
        <v>0</v>
      </c>
      <c r="BA91" s="87">
        <v>100.98399999999999</v>
      </c>
      <c r="BB91" s="51"/>
      <c r="BC91" s="88">
        <v>97.055999999999997</v>
      </c>
      <c r="BD91" s="51"/>
      <c r="BE91" s="89">
        <v>3.9279999999999973</v>
      </c>
      <c r="BG91" s="87" t="s">
        <v>414</v>
      </c>
      <c r="BH91" s="51"/>
      <c r="BI91" s="88" t="s">
        <v>414</v>
      </c>
      <c r="BJ91" s="51"/>
      <c r="BK91" s="89" t="e">
        <v>#VALUE!</v>
      </c>
      <c r="BL91" s="53"/>
      <c r="BN91" s="87">
        <v>0</v>
      </c>
      <c r="BO91" s="51"/>
      <c r="BP91" s="88">
        <v>0</v>
      </c>
      <c r="BQ91" s="51"/>
      <c r="BR91" s="89">
        <v>0</v>
      </c>
      <c r="BS91" s="53"/>
    </row>
    <row r="92" spans="1:71" s="65" customFormat="1" outlineLevel="1" collapsed="1">
      <c r="A92" s="65" t="s">
        <v>356</v>
      </c>
      <c r="B92" s="65" t="s">
        <v>264</v>
      </c>
      <c r="C92" s="65" t="s">
        <v>262</v>
      </c>
      <c r="D92" s="86" t="s">
        <v>357</v>
      </c>
      <c r="E92" s="87">
        <v>0</v>
      </c>
      <c r="F92" s="47"/>
      <c r="G92" s="88">
        <v>0</v>
      </c>
      <c r="H92" s="47"/>
      <c r="I92" s="89">
        <v>0</v>
      </c>
      <c r="J92" s="44"/>
      <c r="K92" s="87">
        <v>0</v>
      </c>
      <c r="L92" s="47"/>
      <c r="M92" s="88">
        <v>0</v>
      </c>
      <c r="N92" s="51"/>
      <c r="O92" s="52">
        <v>0</v>
      </c>
      <c r="P92" s="53"/>
      <c r="Q92" s="87">
        <v>0</v>
      </c>
      <c r="R92" s="51"/>
      <c r="S92" s="88">
        <v>0</v>
      </c>
      <c r="T92" s="51"/>
      <c r="U92" s="89">
        <v>0</v>
      </c>
      <c r="V92" s="25"/>
      <c r="W92" s="87">
        <v>0</v>
      </c>
      <c r="X92" s="51"/>
      <c r="Y92" s="88">
        <v>0</v>
      </c>
      <c r="Z92" s="51"/>
      <c r="AA92" s="89">
        <v>0</v>
      </c>
      <c r="AB92" s="53"/>
      <c r="AC92" s="87">
        <v>0</v>
      </c>
      <c r="AD92" s="51"/>
      <c r="AE92" s="88">
        <v>0</v>
      </c>
      <c r="AF92" s="51"/>
      <c r="AG92" s="89">
        <v>0</v>
      </c>
      <c r="AH92" s="53"/>
      <c r="AI92" s="87">
        <v>0</v>
      </c>
      <c r="AJ92" s="51"/>
      <c r="AK92" s="88">
        <v>0</v>
      </c>
      <c r="AL92" s="51"/>
      <c r="AM92" s="89">
        <v>0</v>
      </c>
      <c r="AN92" s="53"/>
      <c r="AO92" s="87">
        <v>0</v>
      </c>
      <c r="AP92" s="51"/>
      <c r="AQ92" s="88">
        <v>0</v>
      </c>
      <c r="AR92" s="51"/>
      <c r="AS92" s="89">
        <v>0</v>
      </c>
      <c r="AT92" s="53"/>
      <c r="AU92" s="87">
        <v>0</v>
      </c>
      <c r="AV92" s="51"/>
      <c r="AW92" s="88">
        <v>0</v>
      </c>
      <c r="AX92" s="51"/>
      <c r="AY92" s="89">
        <v>0</v>
      </c>
      <c r="AZ92" s="44"/>
      <c r="BA92" s="87">
        <v>0</v>
      </c>
      <c r="BB92" s="51"/>
      <c r="BC92" s="88">
        <v>0</v>
      </c>
      <c r="BD92" s="51"/>
      <c r="BE92" s="89">
        <v>0</v>
      </c>
      <c r="BG92" s="87">
        <v>0</v>
      </c>
      <c r="BH92" s="51"/>
      <c r="BI92" s="88">
        <v>0</v>
      </c>
      <c r="BJ92" s="51"/>
      <c r="BK92" s="89">
        <v>0</v>
      </c>
      <c r="BL92" s="53"/>
      <c r="BN92" s="87">
        <v>0</v>
      </c>
      <c r="BO92" s="51"/>
      <c r="BP92" s="88">
        <v>0</v>
      </c>
      <c r="BQ92" s="51"/>
      <c r="BR92" s="89">
        <v>0</v>
      </c>
      <c r="BS92" s="53"/>
    </row>
    <row r="93" spans="1:71" s="64" customFormat="1">
      <c r="A93" s="54" t="s">
        <v>358</v>
      </c>
      <c r="B93" s="55" t="s">
        <v>359</v>
      </c>
      <c r="C93" s="55" t="s">
        <v>294</v>
      </c>
      <c r="D93" s="139" t="s">
        <v>360</v>
      </c>
      <c r="E93" s="140">
        <v>0</v>
      </c>
      <c r="F93" s="58"/>
      <c r="G93" s="141">
        <v>0</v>
      </c>
      <c r="H93" s="58"/>
      <c r="I93" s="142">
        <v>0</v>
      </c>
      <c r="J93" s="91"/>
      <c r="K93" s="140">
        <v>-19035</v>
      </c>
      <c r="L93" s="58"/>
      <c r="M93" s="141">
        <v>-15071</v>
      </c>
      <c r="N93" s="62"/>
      <c r="O93" s="142">
        <v>-3964</v>
      </c>
      <c r="P93" s="63"/>
      <c r="Q93" s="140">
        <v>-19035</v>
      </c>
      <c r="R93" s="62"/>
      <c r="S93" s="141">
        <v>-15071</v>
      </c>
      <c r="T93" s="62"/>
      <c r="U93" s="142">
        <v>-3964</v>
      </c>
      <c r="V93" s="25"/>
      <c r="W93" s="140">
        <v>0</v>
      </c>
      <c r="X93" s="62"/>
      <c r="Y93" s="141">
        <v>0</v>
      </c>
      <c r="Z93" s="62"/>
      <c r="AA93" s="142">
        <v>0</v>
      </c>
      <c r="AB93" s="63"/>
      <c r="AC93" s="140">
        <v>0</v>
      </c>
      <c r="AD93" s="62"/>
      <c r="AE93" s="141">
        <v>0</v>
      </c>
      <c r="AF93" s="62"/>
      <c r="AG93" s="142">
        <v>0</v>
      </c>
      <c r="AH93" s="63"/>
      <c r="AI93" s="140">
        <v>0</v>
      </c>
      <c r="AJ93" s="62"/>
      <c r="AK93" s="141">
        <v>0</v>
      </c>
      <c r="AL93" s="62"/>
      <c r="AM93" s="142">
        <v>0</v>
      </c>
      <c r="AN93" s="63"/>
      <c r="AO93" s="140">
        <v>0</v>
      </c>
      <c r="AP93" s="62"/>
      <c r="AQ93" s="141">
        <v>-750</v>
      </c>
      <c r="AR93" s="62"/>
      <c r="AS93" s="142">
        <v>750</v>
      </c>
      <c r="AT93" s="63"/>
      <c r="AU93" s="140">
        <v>0</v>
      </c>
      <c r="AV93" s="62"/>
      <c r="AW93" s="141">
        <v>-750</v>
      </c>
      <c r="AX93" s="62"/>
      <c r="AY93" s="142">
        <v>750</v>
      </c>
      <c r="BA93" s="140">
        <v>-19035</v>
      </c>
      <c r="BB93" s="62"/>
      <c r="BC93" s="141">
        <v>-14321</v>
      </c>
      <c r="BD93" s="51"/>
      <c r="BE93" s="142">
        <v>-4714</v>
      </c>
      <c r="BG93" s="140">
        <v>0</v>
      </c>
      <c r="BH93" s="62"/>
      <c r="BI93" s="141">
        <v>-750</v>
      </c>
      <c r="BJ93" s="62"/>
      <c r="BK93" s="142">
        <v>750</v>
      </c>
      <c r="BL93" s="63"/>
      <c r="BN93" s="140">
        <v>0</v>
      </c>
      <c r="BO93" s="62"/>
      <c r="BP93" s="141">
        <v>0</v>
      </c>
      <c r="BQ93" s="62"/>
      <c r="BR93" s="142">
        <v>0</v>
      </c>
      <c r="BS93" s="63"/>
    </row>
    <row r="94" spans="1:71" s="44" customFormat="1" ht="14.4" thickBot="1">
      <c r="A94" s="65" t="s">
        <v>355</v>
      </c>
      <c r="B94" s="65" t="s">
        <v>361</v>
      </c>
      <c r="C94" s="65" t="s">
        <v>362</v>
      </c>
      <c r="D94" s="86" t="s">
        <v>415</v>
      </c>
      <c r="E94" s="143">
        <v>-2047.644</v>
      </c>
      <c r="F94" s="47"/>
      <c r="G94" s="144">
        <v>-1442.5</v>
      </c>
      <c r="H94" s="47"/>
      <c r="I94" s="145">
        <v>-605.14400000000001</v>
      </c>
      <c r="K94" s="143">
        <v>-11678.936</v>
      </c>
      <c r="L94" s="47"/>
      <c r="M94" s="144">
        <v>-11655.902</v>
      </c>
      <c r="N94" s="51"/>
      <c r="O94" s="52">
        <v>-23.033999999999651</v>
      </c>
      <c r="P94" s="63"/>
      <c r="Q94" s="143">
        <v>-13726.58</v>
      </c>
      <c r="R94" s="51"/>
      <c r="S94" s="144">
        <v>-13098.402</v>
      </c>
      <c r="T94" s="51"/>
      <c r="U94" s="145">
        <v>-628.17799999999988</v>
      </c>
      <c r="V94" s="25"/>
      <c r="W94" s="143"/>
      <c r="X94" s="51"/>
      <c r="Y94" s="144"/>
      <c r="Z94" s="51"/>
      <c r="AA94" s="145">
        <v>0</v>
      </c>
      <c r="AB94" s="63"/>
      <c r="AC94" s="143"/>
      <c r="AD94" s="51"/>
      <c r="AE94" s="144"/>
      <c r="AF94" s="51"/>
      <c r="AG94" s="145">
        <v>0</v>
      </c>
      <c r="AH94" s="63"/>
      <c r="AI94" s="143"/>
      <c r="AJ94" s="51"/>
      <c r="AK94" s="144"/>
      <c r="AL94" s="51"/>
      <c r="AM94" s="145">
        <v>0</v>
      </c>
      <c r="AN94" s="63"/>
      <c r="AO94" s="143"/>
      <c r="AP94" s="51"/>
      <c r="AQ94" s="144"/>
      <c r="AR94" s="51"/>
      <c r="AS94" s="145">
        <v>0</v>
      </c>
      <c r="AT94" s="63"/>
      <c r="AU94" s="143">
        <v>0</v>
      </c>
      <c r="AV94" s="51"/>
      <c r="AW94" s="144">
        <v>0</v>
      </c>
      <c r="AX94" s="51"/>
      <c r="AY94" s="145">
        <v>0</v>
      </c>
      <c r="BA94" s="143">
        <v>-13726.58</v>
      </c>
      <c r="BB94" s="51"/>
      <c r="BC94" s="144">
        <v>-13098.402</v>
      </c>
      <c r="BD94" s="51"/>
      <c r="BE94" s="145">
        <v>-628.17799999999988</v>
      </c>
      <c r="BG94" s="143"/>
      <c r="BH94" s="51"/>
      <c r="BI94" s="144"/>
      <c r="BJ94" s="51"/>
      <c r="BK94" s="145">
        <v>0</v>
      </c>
      <c r="BL94" s="63"/>
      <c r="BN94" s="143"/>
      <c r="BO94" s="51"/>
      <c r="BP94" s="144"/>
      <c r="BQ94" s="51"/>
      <c r="BR94" s="145">
        <v>0</v>
      </c>
      <c r="BS94" s="63"/>
    </row>
    <row r="95" spans="1:71" s="71" customFormat="1" ht="14.4" thickBot="1">
      <c r="D95" s="146" t="s">
        <v>363</v>
      </c>
      <c r="E95" s="147">
        <v>92851.316447177378</v>
      </c>
      <c r="F95" s="148"/>
      <c r="G95" s="149">
        <v>92887.04637591909</v>
      </c>
      <c r="H95" s="148"/>
      <c r="I95" s="150">
        <v>-35.729928741712143</v>
      </c>
      <c r="J95" s="44"/>
      <c r="K95" s="147">
        <v>-176532.57653448888</v>
      </c>
      <c r="L95" s="148"/>
      <c r="M95" s="149">
        <v>-178213.93144131594</v>
      </c>
      <c r="N95" s="151"/>
      <c r="O95" s="150">
        <v>1681.3549068270895</v>
      </c>
      <c r="P95" s="63"/>
      <c r="Q95" s="147">
        <v>-84377.523565839801</v>
      </c>
      <c r="R95" s="152" t="e">
        <v>#REF!</v>
      </c>
      <c r="S95" s="149">
        <v>-85527.638355056712</v>
      </c>
      <c r="T95" s="151"/>
      <c r="U95" s="150">
        <v>1150.1147892168788</v>
      </c>
      <c r="V95" s="25"/>
      <c r="W95" s="147">
        <v>-188.27412382314412</v>
      </c>
      <c r="X95" s="147" t="e">
        <v>#REF!</v>
      </c>
      <c r="Y95" s="147">
        <v>326.79217106534924</v>
      </c>
      <c r="Z95" s="151"/>
      <c r="AA95" s="150" t="e">
        <v>#REF!</v>
      </c>
      <c r="AB95" s="63"/>
      <c r="AC95" s="147">
        <v>45.960000000000008</v>
      </c>
      <c r="AD95" s="147" t="e">
        <v>#REF!</v>
      </c>
      <c r="AE95" s="147">
        <v>16.534000000000006</v>
      </c>
      <c r="AF95" s="151"/>
      <c r="AG95" s="150" t="e">
        <v>#REF!</v>
      </c>
      <c r="AH95" s="63"/>
      <c r="AI95" s="147">
        <v>-130.38273109991781</v>
      </c>
      <c r="AJ95" s="147" t="e">
        <v>#REF!</v>
      </c>
      <c r="AK95" s="147">
        <v>803.68882809996694</v>
      </c>
      <c r="AL95" s="151"/>
      <c r="AM95" s="150" t="e">
        <v>#REF!</v>
      </c>
      <c r="AN95" s="63"/>
      <c r="AO95" s="147">
        <v>-10555.960695072577</v>
      </c>
      <c r="AP95" s="147" t="e">
        <v>#REF!</v>
      </c>
      <c r="AQ95" s="147">
        <v>-7309.9938807588351</v>
      </c>
      <c r="AR95" s="151"/>
      <c r="AS95" s="150" t="e">
        <v>#REF!</v>
      </c>
      <c r="AT95" s="63"/>
      <c r="AU95" s="147">
        <v>-10828.65754999564</v>
      </c>
      <c r="AV95" s="147"/>
      <c r="AW95" s="147">
        <v>-6162.978881593519</v>
      </c>
      <c r="AX95" s="151"/>
      <c r="AY95" s="150" t="e">
        <v>#REF!</v>
      </c>
      <c r="BA95" s="147">
        <v>-73821.562870767229</v>
      </c>
      <c r="BB95" s="151"/>
      <c r="BC95" s="149">
        <v>-78217.644474297878</v>
      </c>
      <c r="BD95" s="51"/>
      <c r="BE95" s="150">
        <v>4396.0816035306489</v>
      </c>
      <c r="BG95" s="147" t="e">
        <v>#VALUE!</v>
      </c>
      <c r="BH95" s="147" t="e">
        <v>#REF!</v>
      </c>
      <c r="BI95" s="147" t="e">
        <v>#VALUE!</v>
      </c>
      <c r="BJ95" s="151"/>
      <c r="BK95" s="150" t="e">
        <v>#VALUE!</v>
      </c>
      <c r="BL95" s="63"/>
      <c r="BN95" s="147" t="e">
        <v>#REF!</v>
      </c>
      <c r="BO95" s="147" t="e">
        <v>#REF!</v>
      </c>
      <c r="BP95" s="147" t="e">
        <v>#REF!</v>
      </c>
      <c r="BQ95" s="151"/>
      <c r="BR95" s="150" t="e">
        <v>#REF!</v>
      </c>
      <c r="BS95" s="63"/>
    </row>
    <row r="96" spans="1:71" s="157" customFormat="1" ht="15" customHeight="1" outlineLevel="2">
      <c r="A96" s="65" t="s">
        <v>345</v>
      </c>
      <c r="B96" s="65" t="s">
        <v>364</v>
      </c>
      <c r="C96" s="65"/>
      <c r="D96" s="153" t="s">
        <v>365</v>
      </c>
      <c r="E96" s="154">
        <v>92851.316447177494</v>
      </c>
      <c r="F96" s="155"/>
      <c r="G96" s="154">
        <v>92887.046375919104</v>
      </c>
      <c r="H96" s="155"/>
      <c r="I96" s="154">
        <v>-35.729928741609911</v>
      </c>
      <c r="J96" s="156"/>
      <c r="K96" s="154">
        <v>-176532.576534489</v>
      </c>
      <c r="L96" s="154"/>
      <c r="M96" s="154">
        <v>-178213.931441316</v>
      </c>
      <c r="N96" s="154"/>
      <c r="O96" s="154">
        <v>1681.3549068270077</v>
      </c>
      <c r="P96" s="154"/>
      <c r="Q96" s="154">
        <v>-84377.523565839801</v>
      </c>
      <c r="R96" s="154"/>
      <c r="S96" s="154">
        <v>-85527.638355056697</v>
      </c>
      <c r="T96" s="154"/>
      <c r="U96" s="154">
        <v>1150.1147892168956</v>
      </c>
      <c r="V96" s="25"/>
      <c r="W96" s="154">
        <v>-119.137061911572</v>
      </c>
      <c r="X96" s="154"/>
      <c r="Y96" s="154">
        <v>137.488776191027</v>
      </c>
      <c r="Z96" s="154"/>
      <c r="AA96" s="154">
        <v>-256.625838102599</v>
      </c>
      <c r="AB96" s="154"/>
      <c r="AC96" s="154">
        <v>22.98</v>
      </c>
      <c r="AD96" s="154"/>
      <c r="AE96" s="154">
        <v>9.2639999999999993</v>
      </c>
      <c r="AF96" s="154"/>
      <c r="AG96" s="154">
        <v>13.716000000000001</v>
      </c>
      <c r="AH96" s="154"/>
      <c r="AI96" s="154">
        <v>-65.191365549959301</v>
      </c>
      <c r="AJ96" s="154"/>
      <c r="AK96" s="154">
        <v>385.17738520354402</v>
      </c>
      <c r="AL96" s="154"/>
      <c r="AM96" s="154">
        <v>-450.36875075350332</v>
      </c>
      <c r="AN96" s="154"/>
      <c r="AO96" s="154">
        <v>-2661.9023475362992</v>
      </c>
      <c r="AP96" s="154"/>
      <c r="AQ96" s="154">
        <v>-2658.4721520245985</v>
      </c>
      <c r="AR96" s="154"/>
      <c r="AS96" s="154">
        <v>-3.430195511700731</v>
      </c>
      <c r="AT96" s="154"/>
      <c r="AU96" s="154"/>
      <c r="AV96" s="154"/>
      <c r="AW96" s="154"/>
      <c r="AX96" s="154"/>
      <c r="AY96" s="154"/>
      <c r="BA96" s="154"/>
      <c r="BB96" s="154"/>
      <c r="BC96" s="154"/>
      <c r="BD96" s="51"/>
      <c r="BE96" s="154"/>
      <c r="BG96" s="154">
        <v>16.956634614820359</v>
      </c>
      <c r="BH96" s="154"/>
      <c r="BI96" s="154">
        <v>48.585260420850318</v>
      </c>
      <c r="BJ96" s="154"/>
      <c r="BK96" s="154">
        <v>-31.628625806029959</v>
      </c>
      <c r="BL96" s="154"/>
      <c r="BN96" s="154">
        <v>-2678.8589821510996</v>
      </c>
      <c r="BO96" s="154"/>
      <c r="BP96" s="154">
        <v>-2707.0574124454597</v>
      </c>
      <c r="BQ96" s="154"/>
      <c r="BR96" s="154">
        <v>28.198430294360151</v>
      </c>
      <c r="BS96" s="154"/>
    </row>
    <row r="97" spans="1:71" s="157" customFormat="1" ht="15" customHeight="1" outlineLevel="2">
      <c r="A97" s="65"/>
      <c r="B97" s="65"/>
      <c r="C97" s="65"/>
      <c r="D97" s="153" t="s">
        <v>366</v>
      </c>
      <c r="E97" s="158">
        <v>-1.1641532182693481E-10</v>
      </c>
      <c r="F97" s="158"/>
      <c r="G97" s="154">
        <v>0</v>
      </c>
      <c r="H97" s="158"/>
      <c r="I97" s="154">
        <v>-1.0223288882116321E-10</v>
      </c>
      <c r="J97" s="159"/>
      <c r="K97" s="154">
        <v>0</v>
      </c>
      <c r="L97" s="158"/>
      <c r="M97" s="154">
        <v>0</v>
      </c>
      <c r="N97" s="154"/>
      <c r="O97" s="154">
        <v>8.1854523159563541E-11</v>
      </c>
      <c r="P97" s="154"/>
      <c r="Q97" s="158">
        <v>0</v>
      </c>
      <c r="R97" s="158"/>
      <c r="S97" s="158">
        <v>0</v>
      </c>
      <c r="T97" s="158"/>
      <c r="U97" s="158">
        <v>-1.6825651982799172E-11</v>
      </c>
      <c r="V97" s="25"/>
      <c r="W97" s="158">
        <v>-69.137061911572118</v>
      </c>
      <c r="X97" s="158"/>
      <c r="Y97" s="158">
        <v>189.30339487432224</v>
      </c>
      <c r="Z97" s="158"/>
      <c r="AA97" s="158" t="e">
        <v>#REF!</v>
      </c>
      <c r="AB97" s="154"/>
      <c r="AC97" s="158">
        <v>22.980000000000008</v>
      </c>
      <c r="AD97" s="158"/>
      <c r="AE97" s="158">
        <v>7.2700000000000067</v>
      </c>
      <c r="AF97" s="158"/>
      <c r="AG97" s="158" t="e">
        <v>#REF!</v>
      </c>
      <c r="AH97" s="154"/>
      <c r="AI97" s="158">
        <v>-65.191365549958505</v>
      </c>
      <c r="AJ97" s="158"/>
      <c r="AK97" s="158">
        <v>418.51144289642292</v>
      </c>
      <c r="AL97" s="158"/>
      <c r="AM97" s="158" t="e">
        <v>#REF!</v>
      </c>
      <c r="AN97" s="154"/>
      <c r="AO97" s="158">
        <v>-7894.0583475362782</v>
      </c>
      <c r="AP97" s="158"/>
      <c r="AQ97" s="158">
        <v>-4651.5217287342366</v>
      </c>
      <c r="AR97" s="158"/>
      <c r="AS97" s="158" t="e">
        <v>#REF!</v>
      </c>
      <c r="AT97" s="158"/>
      <c r="AU97" s="158"/>
      <c r="AV97" s="158"/>
      <c r="AW97" s="158"/>
      <c r="AX97" s="158"/>
      <c r="AY97" s="158"/>
      <c r="BA97" s="158"/>
      <c r="BB97" s="158"/>
      <c r="BC97" s="158"/>
      <c r="BD97" s="51"/>
      <c r="BE97" s="158"/>
      <c r="BG97" s="158" t="e">
        <v>#VALUE!</v>
      </c>
      <c r="BH97" s="158"/>
      <c r="BI97" s="158" t="e">
        <v>#VALUE!</v>
      </c>
      <c r="BJ97" s="158"/>
      <c r="BK97" s="158" t="e">
        <v>#VALUE!</v>
      </c>
      <c r="BL97" s="158"/>
      <c r="BN97" s="158" t="e">
        <v>#REF!</v>
      </c>
      <c r="BO97" s="158"/>
      <c r="BP97" s="158" t="e">
        <v>#REF!</v>
      </c>
      <c r="BQ97" s="158"/>
      <c r="BR97" s="158" t="e">
        <v>#REF!</v>
      </c>
      <c r="BS97" s="158"/>
    </row>
    <row r="98" spans="1:71" s="157" customFormat="1" ht="15" customHeight="1" outlineLevel="2" thickBot="1">
      <c r="A98" s="65" t="s">
        <v>355</v>
      </c>
      <c r="B98" s="65" t="s">
        <v>367</v>
      </c>
      <c r="C98" s="65"/>
      <c r="D98" s="153" t="s">
        <v>368</v>
      </c>
      <c r="E98" s="158"/>
      <c r="F98" s="158"/>
      <c r="G98" s="158"/>
      <c r="H98" s="158"/>
      <c r="I98" s="154"/>
      <c r="J98" s="159"/>
      <c r="K98" s="154"/>
      <c r="L98" s="158"/>
      <c r="M98" s="154"/>
      <c r="N98" s="154"/>
      <c r="O98" s="154"/>
      <c r="P98" s="154"/>
      <c r="Q98" s="158"/>
      <c r="R98" s="158"/>
      <c r="S98" s="158"/>
      <c r="T98" s="158"/>
      <c r="U98" s="158"/>
      <c r="V98" s="25"/>
      <c r="W98" s="158"/>
      <c r="X98" s="158"/>
      <c r="Y98" s="158"/>
      <c r="Z98" s="158"/>
      <c r="AA98" s="158"/>
      <c r="AB98" s="154"/>
      <c r="AC98" s="158"/>
      <c r="AD98" s="158"/>
      <c r="AE98" s="158"/>
      <c r="AF98" s="158"/>
      <c r="AG98" s="158"/>
      <c r="AH98" s="154"/>
      <c r="AI98" s="158"/>
      <c r="AJ98" s="158"/>
      <c r="AK98" s="158"/>
      <c r="AL98" s="158"/>
      <c r="AM98" s="158"/>
      <c r="AN98" s="154"/>
      <c r="AO98" s="154">
        <v>-10159.263000000001</v>
      </c>
      <c r="AP98" s="154"/>
      <c r="AQ98" s="154">
        <v>-10159.263000000001</v>
      </c>
      <c r="AR98" s="154"/>
      <c r="AS98" s="154" t="e">
        <v>#REF!</v>
      </c>
      <c r="AT98" s="160"/>
      <c r="AU98" s="158"/>
      <c r="AV98" s="158"/>
      <c r="AW98" s="158"/>
      <c r="AX98" s="158"/>
      <c r="AY98" s="158"/>
      <c r="BA98" s="160"/>
      <c r="BB98" s="160"/>
      <c r="BC98" s="160"/>
      <c r="BD98" s="51"/>
      <c r="BE98" s="161"/>
      <c r="BG98" s="154">
        <v>-6648.7629999999999</v>
      </c>
      <c r="BH98" s="154"/>
      <c r="BI98" s="154">
        <v>-6648.7629999999999</v>
      </c>
      <c r="BJ98" s="154"/>
      <c r="BK98" s="154" t="e">
        <v>#VALUE!</v>
      </c>
      <c r="BL98" s="160"/>
      <c r="BN98" s="154">
        <v>-3510.5</v>
      </c>
      <c r="BO98" s="154"/>
      <c r="BP98" s="154">
        <v>-3510.5</v>
      </c>
      <c r="BQ98" s="154"/>
      <c r="BR98" s="154" t="e">
        <v>#REF!</v>
      </c>
      <c r="BS98" s="160"/>
    </row>
    <row r="99" spans="1:71" s="71" customFormat="1" ht="14.4" outlineLevel="1" thickBot="1">
      <c r="D99" s="162" t="s">
        <v>369</v>
      </c>
      <c r="E99" s="163">
        <v>0</v>
      </c>
      <c r="F99" s="164"/>
      <c r="G99" s="163"/>
      <c r="H99" s="164"/>
      <c r="I99" s="165">
        <v>0</v>
      </c>
      <c r="K99" s="163">
        <v>0</v>
      </c>
      <c r="L99" s="164"/>
      <c r="M99" s="163"/>
      <c r="N99" s="166"/>
      <c r="O99" s="165">
        <v>0</v>
      </c>
      <c r="P99" s="63"/>
      <c r="Q99" s="163">
        <v>0</v>
      </c>
      <c r="R99" s="163"/>
      <c r="S99" s="163"/>
      <c r="T99" s="166"/>
      <c r="U99" s="165">
        <v>0</v>
      </c>
      <c r="V99" s="25"/>
      <c r="W99" s="163"/>
      <c r="X99" s="163"/>
      <c r="Y99" s="163"/>
      <c r="Z99" s="166"/>
      <c r="AA99" s="165"/>
      <c r="AB99" s="167"/>
      <c r="AC99" s="163"/>
      <c r="AD99" s="163"/>
      <c r="AE99" s="163"/>
      <c r="AF99" s="166"/>
      <c r="AG99" s="165"/>
      <c r="AH99" s="167"/>
      <c r="AI99" s="163"/>
      <c r="AJ99" s="163"/>
      <c r="AK99" s="163"/>
      <c r="AL99" s="166"/>
      <c r="AM99" s="165"/>
      <c r="AN99" s="167"/>
      <c r="AO99" s="163">
        <v>-7894.0583475362782</v>
      </c>
      <c r="AP99" s="163"/>
      <c r="AQ99" s="163"/>
      <c r="AR99" s="166"/>
      <c r="AS99" s="165"/>
      <c r="AT99" s="63"/>
      <c r="AU99" s="163"/>
      <c r="AV99" s="163"/>
      <c r="AW99" s="163"/>
      <c r="AX99" s="166"/>
      <c r="AY99" s="165"/>
      <c r="AZ99" s="168"/>
      <c r="BA99" s="163"/>
      <c r="BB99" s="166"/>
      <c r="BC99" s="169"/>
      <c r="BD99" s="51"/>
      <c r="BE99" s="165">
        <v>0</v>
      </c>
      <c r="BG99" s="163" t="e">
        <v>#VALUE!</v>
      </c>
      <c r="BH99" s="163"/>
      <c r="BI99" s="163"/>
      <c r="BJ99" s="166"/>
      <c r="BK99" s="165"/>
      <c r="BL99" s="63"/>
      <c r="BN99" s="163" t="e">
        <v>#REF!</v>
      </c>
      <c r="BO99" s="163"/>
      <c r="BP99" s="163"/>
      <c r="BQ99" s="166"/>
      <c r="BR99" s="165"/>
      <c r="BS99" s="63"/>
    </row>
    <row r="100" spans="1:71" s="17" customFormat="1" ht="48.75" customHeight="1" outlineLevel="3">
      <c r="D100" s="170" t="s">
        <v>370</v>
      </c>
      <c r="E100" s="171" t="s">
        <v>254</v>
      </c>
      <c r="F100" s="172"/>
      <c r="G100" s="173" t="s">
        <v>255</v>
      </c>
      <c r="H100" s="172"/>
      <c r="I100" s="174" t="s">
        <v>256</v>
      </c>
      <c r="J100" s="175"/>
      <c r="K100" s="171" t="s">
        <v>254</v>
      </c>
      <c r="L100" s="172"/>
      <c r="M100" s="176" t="s">
        <v>255</v>
      </c>
      <c r="N100" s="177"/>
      <c r="O100" s="174" t="s">
        <v>256</v>
      </c>
      <c r="P100" s="43"/>
      <c r="Q100" s="171" t="s">
        <v>254</v>
      </c>
      <c r="R100" s="172"/>
      <c r="S100" s="173" t="s">
        <v>255</v>
      </c>
      <c r="T100" s="177"/>
      <c r="U100" s="174" t="s">
        <v>256</v>
      </c>
      <c r="V100" s="25"/>
      <c r="W100" s="171" t="s">
        <v>254</v>
      </c>
      <c r="X100" s="172"/>
      <c r="Y100" s="173" t="s">
        <v>255</v>
      </c>
      <c r="Z100" s="177"/>
      <c r="AA100" s="174">
        <v>0</v>
      </c>
      <c r="AB100" s="43"/>
      <c r="AC100" s="171" t="s">
        <v>254</v>
      </c>
      <c r="AD100" s="172"/>
      <c r="AE100" s="173" t="s">
        <v>255</v>
      </c>
      <c r="AF100" s="177"/>
      <c r="AG100" s="174">
        <v>0</v>
      </c>
      <c r="AH100" s="43"/>
      <c r="AI100" s="171" t="s">
        <v>254</v>
      </c>
      <c r="AJ100" s="172"/>
      <c r="AK100" s="173" t="s">
        <v>255</v>
      </c>
      <c r="AL100" s="177"/>
      <c r="AM100" s="174">
        <v>0</v>
      </c>
      <c r="AN100" s="43"/>
      <c r="AO100" s="171" t="s">
        <v>254</v>
      </c>
      <c r="AP100" s="172"/>
      <c r="AQ100" s="173" t="s">
        <v>255</v>
      </c>
      <c r="AR100" s="177"/>
      <c r="AS100" s="174">
        <v>0</v>
      </c>
      <c r="AT100" s="43"/>
      <c r="AU100" s="171" t="s">
        <v>254</v>
      </c>
      <c r="AV100" s="172"/>
      <c r="AW100" s="173" t="s">
        <v>255</v>
      </c>
      <c r="AX100" s="177"/>
      <c r="AY100" s="174">
        <v>0</v>
      </c>
      <c r="BA100" s="171" t="s">
        <v>254</v>
      </c>
      <c r="BB100" s="172"/>
      <c r="BC100" s="173" t="s">
        <v>255</v>
      </c>
      <c r="BD100" s="51"/>
      <c r="BE100" s="174" t="s">
        <v>389</v>
      </c>
      <c r="BG100" s="171" t="s">
        <v>254</v>
      </c>
      <c r="BH100" s="172"/>
      <c r="BI100" s="173" t="s">
        <v>255</v>
      </c>
      <c r="BJ100" s="177"/>
      <c r="BK100" s="174" t="s">
        <v>389</v>
      </c>
      <c r="BL100" s="43"/>
      <c r="BN100" s="171">
        <v>0</v>
      </c>
      <c r="BO100" s="172"/>
      <c r="BP100" s="173">
        <v>0</v>
      </c>
      <c r="BQ100" s="177"/>
      <c r="BR100" s="174">
        <v>0</v>
      </c>
      <c r="BS100" s="43"/>
    </row>
    <row r="101" spans="1:71" s="17" customFormat="1" outlineLevel="3">
      <c r="D101" s="178" t="s">
        <v>105</v>
      </c>
      <c r="E101" s="179">
        <v>28266.965</v>
      </c>
      <c r="F101" s="51"/>
      <c r="G101" s="180">
        <v>29548.070000000003</v>
      </c>
      <c r="H101" s="51" t="e">
        <v>#REF!</v>
      </c>
      <c r="I101" s="181">
        <v>-1281.1050000000032</v>
      </c>
      <c r="J101" s="175"/>
      <c r="K101" s="179">
        <v>-69504.861000000004</v>
      </c>
      <c r="L101" s="51"/>
      <c r="M101" s="180">
        <v>-73243.622999999992</v>
      </c>
      <c r="N101" s="182"/>
      <c r="O101" s="181">
        <v>3738.7619999999879</v>
      </c>
      <c r="P101" s="53"/>
      <c r="Q101" s="179">
        <v>-41367.220000000008</v>
      </c>
      <c r="R101" s="51"/>
      <c r="S101" s="180">
        <v>-43884.495999999999</v>
      </c>
      <c r="T101" s="182"/>
      <c r="U101" s="181">
        <v>2517.2759999999907</v>
      </c>
      <c r="V101" s="25"/>
      <c r="W101" s="179" t="e">
        <v>#REF!</v>
      </c>
      <c r="X101" s="51"/>
      <c r="Y101" s="180" t="e">
        <v>#REF!</v>
      </c>
      <c r="Z101" s="182"/>
      <c r="AA101" s="181" t="e">
        <v>#REF!</v>
      </c>
      <c r="AB101" s="53"/>
      <c r="AC101" s="179" t="e">
        <v>#REF!</v>
      </c>
      <c r="AD101" s="51"/>
      <c r="AE101" s="180" t="e">
        <v>#REF!</v>
      </c>
      <c r="AF101" s="182"/>
      <c r="AG101" s="181" t="e">
        <v>#REF!</v>
      </c>
      <c r="AH101" s="53"/>
      <c r="AI101" s="179" t="e">
        <v>#REF!</v>
      </c>
      <c r="AJ101" s="51"/>
      <c r="AK101" s="180" t="e">
        <v>#REF!</v>
      </c>
      <c r="AL101" s="182"/>
      <c r="AM101" s="181" t="e">
        <v>#REF!</v>
      </c>
      <c r="AN101" s="53"/>
      <c r="AO101" s="179" t="e">
        <v>#REF!</v>
      </c>
      <c r="AP101" s="51"/>
      <c r="AQ101" s="180" t="e">
        <v>#REF!</v>
      </c>
      <c r="AR101" s="182"/>
      <c r="AS101" s="181" t="e">
        <v>#REF!</v>
      </c>
      <c r="AT101" s="53"/>
      <c r="AU101" s="179" t="e">
        <v>#REF!</v>
      </c>
      <c r="AV101" s="51"/>
      <c r="AW101" s="180" t="e">
        <v>#REF!</v>
      </c>
      <c r="AX101" s="182"/>
      <c r="AY101" s="181" t="e">
        <v>#REF!</v>
      </c>
      <c r="BA101" s="179" t="e">
        <v>#REF!</v>
      </c>
      <c r="BB101" s="51"/>
      <c r="BC101" s="179" t="e">
        <v>#REF!</v>
      </c>
      <c r="BD101" s="51"/>
      <c r="BE101" s="181" t="e">
        <v>#REF!</v>
      </c>
      <c r="BG101" s="179" t="e">
        <v>#REF!</v>
      </c>
      <c r="BH101" s="51"/>
      <c r="BI101" s="180" t="e">
        <v>#REF!</v>
      </c>
      <c r="BJ101" s="182"/>
      <c r="BK101" s="181" t="e">
        <v>#REF!</v>
      </c>
      <c r="BL101" s="53"/>
      <c r="BM101" s="183"/>
      <c r="BN101" s="179" t="e">
        <v>#REF!</v>
      </c>
      <c r="BO101" s="51"/>
      <c r="BP101" s="180" t="e">
        <v>#REF!</v>
      </c>
      <c r="BQ101" s="182"/>
      <c r="BR101" s="181" t="e">
        <v>#REF!</v>
      </c>
      <c r="BS101" s="53"/>
    </row>
    <row r="102" spans="1:71" s="17" customFormat="1" outlineLevel="3">
      <c r="D102" s="184" t="s">
        <v>103</v>
      </c>
      <c r="E102" s="67">
        <v>26551.325184945235</v>
      </c>
      <c r="F102" s="51"/>
      <c r="G102" s="69">
        <v>28025.744293729687</v>
      </c>
      <c r="H102" s="51"/>
      <c r="I102" s="70">
        <v>-1474.419108784452</v>
      </c>
      <c r="J102" s="175"/>
      <c r="K102" s="67">
        <v>-36714.060915308917</v>
      </c>
      <c r="L102" s="51"/>
      <c r="M102" s="69">
        <v>-37886.238652774118</v>
      </c>
      <c r="N102" s="185"/>
      <c r="O102" s="70">
        <v>1172.1777374652011</v>
      </c>
      <c r="P102" s="53"/>
      <c r="Q102" s="67">
        <v>-10349.653389422469</v>
      </c>
      <c r="R102" s="51"/>
      <c r="S102" s="69">
        <v>-9791.8351459907208</v>
      </c>
      <c r="T102" s="185"/>
      <c r="U102" s="70">
        <v>-557.81824343174776</v>
      </c>
      <c r="V102" s="25"/>
      <c r="W102" s="67">
        <v>-144.995614786716</v>
      </c>
      <c r="X102" s="51"/>
      <c r="Y102" s="69">
        <v>-142.10962304026299</v>
      </c>
      <c r="Z102" s="185"/>
      <c r="AA102" s="70">
        <v>-2.8859917464530156</v>
      </c>
      <c r="AB102" s="53"/>
      <c r="AC102" s="67">
        <v>0</v>
      </c>
      <c r="AD102" s="51"/>
      <c r="AE102" s="69">
        <v>0</v>
      </c>
      <c r="AF102" s="185"/>
      <c r="AG102" s="70">
        <v>0</v>
      </c>
      <c r="AH102" s="53"/>
      <c r="AI102" s="67">
        <v>205.81545924173199</v>
      </c>
      <c r="AJ102" s="51"/>
      <c r="AK102" s="69">
        <v>210.52893022919599</v>
      </c>
      <c r="AL102" s="185"/>
      <c r="AM102" s="70">
        <v>-4.7134709874640066</v>
      </c>
      <c r="AN102" s="53"/>
      <c r="AO102" s="67">
        <v>-1879.5070962638938</v>
      </c>
      <c r="AP102" s="51"/>
      <c r="AQ102" s="69">
        <v>-2135.1702697792134</v>
      </c>
      <c r="AR102" s="185"/>
      <c r="AS102" s="70">
        <v>255.66317351531961</v>
      </c>
      <c r="AT102" s="53"/>
      <c r="AU102" s="67">
        <v>-1818.6872518088776</v>
      </c>
      <c r="AV102" s="51"/>
      <c r="AW102" s="69">
        <v>-2066.7509625902803</v>
      </c>
      <c r="AX102" s="185"/>
      <c r="AY102" s="70">
        <v>248.06371078140273</v>
      </c>
      <c r="BA102" s="67">
        <v>-8470.1462931585738</v>
      </c>
      <c r="BB102" s="51"/>
      <c r="BC102" s="69">
        <v>-7656.6648762115065</v>
      </c>
      <c r="BD102" s="51"/>
      <c r="BE102" s="70">
        <v>-813.48141694706737</v>
      </c>
      <c r="BG102" s="67">
        <v>-1319.6673956763639</v>
      </c>
      <c r="BH102" s="51"/>
      <c r="BI102" s="69">
        <v>-1574.5114173179134</v>
      </c>
      <c r="BJ102" s="185"/>
      <c r="BK102" s="70">
        <v>254.84402164154949</v>
      </c>
      <c r="BL102" s="53"/>
      <c r="BN102" s="67">
        <v>-559.839700587533</v>
      </c>
      <c r="BO102" s="51"/>
      <c r="BP102" s="69">
        <v>-560.65885246129892</v>
      </c>
      <c r="BQ102" s="185"/>
      <c r="BR102" s="70">
        <v>0.81915187376591803</v>
      </c>
      <c r="BS102" s="53"/>
    </row>
    <row r="103" spans="1:71" s="186" customFormat="1" ht="14.4" outlineLevel="4">
      <c r="D103" s="187" t="s">
        <v>288</v>
      </c>
      <c r="E103" s="260">
        <v>23054.572</v>
      </c>
      <c r="F103" s="188"/>
      <c r="G103" s="119">
        <v>24298.508999999998</v>
      </c>
      <c r="H103" s="188"/>
      <c r="I103" s="189">
        <v>-1243.9369999999981</v>
      </c>
      <c r="J103" s="190"/>
      <c r="K103" s="260">
        <v>-31878.897000000004</v>
      </c>
      <c r="L103" s="188"/>
      <c r="M103" s="119">
        <v>-32847.623999999996</v>
      </c>
      <c r="N103" s="191"/>
      <c r="O103" s="189">
        <v>968.72699999999168</v>
      </c>
      <c r="P103" s="83"/>
      <c r="Q103" s="113">
        <v>-8986.6259999999984</v>
      </c>
      <c r="R103" s="82"/>
      <c r="S103" s="119">
        <v>-8489.5869999999995</v>
      </c>
      <c r="T103" s="191"/>
      <c r="U103" s="80">
        <v>-497.03899999999885</v>
      </c>
      <c r="V103" s="25"/>
      <c r="W103" s="77">
        <v>0</v>
      </c>
      <c r="X103" s="82"/>
      <c r="Y103" s="79">
        <v>0</v>
      </c>
      <c r="Z103" s="191"/>
      <c r="AA103" s="80">
        <v>0</v>
      </c>
      <c r="AB103" s="83"/>
      <c r="AC103" s="77">
        <v>0</v>
      </c>
      <c r="AD103" s="82"/>
      <c r="AE103" s="79">
        <v>0</v>
      </c>
      <c r="AF103" s="191"/>
      <c r="AG103" s="80">
        <v>0</v>
      </c>
      <c r="AH103" s="83"/>
      <c r="AI103" s="77">
        <v>0</v>
      </c>
      <c r="AJ103" s="82"/>
      <c r="AK103" s="79">
        <v>0</v>
      </c>
      <c r="AL103" s="191"/>
      <c r="AM103" s="80">
        <v>0</v>
      </c>
      <c r="AN103" s="83"/>
      <c r="AO103" s="77">
        <v>-1347.02</v>
      </c>
      <c r="AP103" s="82"/>
      <c r="AQ103" s="79">
        <v>-1534.8339999999998</v>
      </c>
      <c r="AR103" s="191"/>
      <c r="AS103" s="80">
        <v>187.81399999999985</v>
      </c>
      <c r="AT103" s="83"/>
      <c r="AU103" s="77">
        <v>-1347.02</v>
      </c>
      <c r="AV103" s="82"/>
      <c r="AW103" s="79">
        <v>-1534.8339999999998</v>
      </c>
      <c r="AX103" s="191"/>
      <c r="AY103" s="80">
        <v>187.81399999999985</v>
      </c>
      <c r="BA103" s="77">
        <v>-6522.1290327501083</v>
      </c>
      <c r="BB103" s="82"/>
      <c r="BC103" s="79">
        <v>-6106.0383896830881</v>
      </c>
      <c r="BD103" s="51"/>
      <c r="BE103" s="80">
        <v>-416.09064306702021</v>
      </c>
      <c r="BG103" s="77">
        <v>-945.85</v>
      </c>
      <c r="BH103" s="82"/>
      <c r="BI103" s="79">
        <v>-1132.319</v>
      </c>
      <c r="BJ103" s="191"/>
      <c r="BK103" s="80">
        <v>186.46899999999994</v>
      </c>
      <c r="BL103" s="83"/>
      <c r="BN103" s="77">
        <v>-401.16999999999996</v>
      </c>
      <c r="BO103" s="82"/>
      <c r="BP103" s="79">
        <v>-402.51499999999999</v>
      </c>
      <c r="BQ103" s="191"/>
      <c r="BR103" s="80">
        <v>1.3450000000000273</v>
      </c>
      <c r="BS103" s="83"/>
    </row>
    <row r="104" spans="1:71" s="17" customFormat="1" outlineLevel="3">
      <c r="D104" s="184" t="s">
        <v>48</v>
      </c>
      <c r="E104" s="67">
        <v>25653.132999999998</v>
      </c>
      <c r="F104" s="51"/>
      <c r="G104" s="69">
        <v>21053.198000000004</v>
      </c>
      <c r="H104" s="51"/>
      <c r="I104" s="70">
        <v>4599.934999999994</v>
      </c>
      <c r="J104" s="175"/>
      <c r="K104" s="67">
        <v>-27716.025999999998</v>
      </c>
      <c r="L104" s="51"/>
      <c r="M104" s="69">
        <v>-27047.822</v>
      </c>
      <c r="N104" s="185"/>
      <c r="O104" s="70">
        <v>-668.2039999999979</v>
      </c>
      <c r="P104" s="53"/>
      <c r="Q104" s="261">
        <v>-2414.3830000000003</v>
      </c>
      <c r="R104" s="51"/>
      <c r="S104" s="69">
        <v>-6021.34</v>
      </c>
      <c r="T104" s="185"/>
      <c r="U104" s="70">
        <v>3606.9569999999999</v>
      </c>
      <c r="V104" s="25"/>
      <c r="W104" s="67">
        <v>-218</v>
      </c>
      <c r="X104" s="51"/>
      <c r="Y104" s="69">
        <v>-218.08500000000001</v>
      </c>
      <c r="Z104" s="185"/>
      <c r="AA104" s="70">
        <v>8.5000000000007958E-2</v>
      </c>
      <c r="AB104" s="53"/>
      <c r="AC104" s="67">
        <v>-26.861999999999998</v>
      </c>
      <c r="AD104" s="51"/>
      <c r="AE104" s="69">
        <v>-26.003</v>
      </c>
      <c r="AF104" s="185"/>
      <c r="AG104" s="70">
        <v>-0.85899999999999821</v>
      </c>
      <c r="AH104" s="53"/>
      <c r="AI104" s="67">
        <v>-148</v>
      </c>
      <c r="AJ104" s="51"/>
      <c r="AK104" s="69">
        <v>-148.27199999999999</v>
      </c>
      <c r="AL104" s="185"/>
      <c r="AM104" s="70">
        <v>0.27199999999999136</v>
      </c>
      <c r="AN104" s="53"/>
      <c r="AO104" s="67">
        <v>-1159.1780000000001</v>
      </c>
      <c r="AP104" s="51"/>
      <c r="AQ104" s="69">
        <v>-1167.24</v>
      </c>
      <c r="AR104" s="185"/>
      <c r="AS104" s="70">
        <v>8.0619999999998981</v>
      </c>
      <c r="AT104" s="53"/>
      <c r="AU104" s="67">
        <v>-1552.0400000000002</v>
      </c>
      <c r="AV104" s="51"/>
      <c r="AW104" s="69">
        <v>-1559.6</v>
      </c>
      <c r="AX104" s="185"/>
      <c r="AY104" s="70">
        <v>7.5599999999997181</v>
      </c>
      <c r="BA104" s="67">
        <v>-1255.2050000000002</v>
      </c>
      <c r="BB104" s="51"/>
      <c r="BC104" s="69">
        <v>-4854.1000000000004</v>
      </c>
      <c r="BD104" s="51"/>
      <c r="BE104" s="70">
        <v>3598.8950000000004</v>
      </c>
      <c r="BG104" s="67">
        <v>-908.40000000000009</v>
      </c>
      <c r="BH104" s="51"/>
      <c r="BI104" s="69">
        <v>-908.33499999999992</v>
      </c>
      <c r="BJ104" s="185"/>
      <c r="BK104" s="70">
        <v>-6.5000000000168257E-2</v>
      </c>
      <c r="BL104" s="53"/>
      <c r="BN104" s="67">
        <v>-250.77799999999999</v>
      </c>
      <c r="BO104" s="51"/>
      <c r="BP104" s="69">
        <v>-258.90500000000003</v>
      </c>
      <c r="BQ104" s="185"/>
      <c r="BR104" s="70">
        <v>8.127000000000038</v>
      </c>
      <c r="BS104" s="53"/>
    </row>
    <row r="105" spans="1:71" s="17" customFormat="1" outlineLevel="3">
      <c r="D105" s="184" t="s">
        <v>58</v>
      </c>
      <c r="E105" s="67">
        <v>5123</v>
      </c>
      <c r="F105" s="51"/>
      <c r="G105" s="69">
        <v>4852.4800000000005</v>
      </c>
      <c r="H105" s="51"/>
      <c r="I105" s="70">
        <v>270.51999999999953</v>
      </c>
      <c r="J105" s="175"/>
      <c r="K105" s="67">
        <v>-4274.9979999999996</v>
      </c>
      <c r="L105" s="51"/>
      <c r="M105" s="69">
        <v>-4501.5910000000003</v>
      </c>
      <c r="N105" s="185"/>
      <c r="O105" s="70">
        <v>226.59300000000076</v>
      </c>
      <c r="P105" s="53"/>
      <c r="Q105" s="261">
        <v>939.00200000000007</v>
      </c>
      <c r="R105" s="51"/>
      <c r="S105" s="69">
        <v>349.06899999999996</v>
      </c>
      <c r="T105" s="185"/>
      <c r="U105" s="70">
        <v>589.93300000000011</v>
      </c>
      <c r="V105" s="25"/>
      <c r="W105" s="67">
        <v>-4.3600000000000003</v>
      </c>
      <c r="X105" s="51"/>
      <c r="Y105" s="69">
        <v>-1</v>
      </c>
      <c r="Z105" s="185"/>
      <c r="AA105" s="70">
        <v>-3.3600000000000003</v>
      </c>
      <c r="AB105" s="53"/>
      <c r="AC105" s="67">
        <v>0</v>
      </c>
      <c r="AD105" s="51"/>
      <c r="AE105" s="69">
        <v>0</v>
      </c>
      <c r="AF105" s="185"/>
      <c r="AG105" s="70">
        <v>0</v>
      </c>
      <c r="AH105" s="53"/>
      <c r="AI105" s="67">
        <v>-6.1779999999999999</v>
      </c>
      <c r="AJ105" s="51"/>
      <c r="AK105" s="69">
        <v>-4.17</v>
      </c>
      <c r="AL105" s="185"/>
      <c r="AM105" s="70">
        <v>-2.008</v>
      </c>
      <c r="AN105" s="53"/>
      <c r="AO105" s="67">
        <v>-207</v>
      </c>
      <c r="AP105" s="51"/>
      <c r="AQ105" s="69">
        <v>-207.5</v>
      </c>
      <c r="AR105" s="185"/>
      <c r="AS105" s="70">
        <v>0.5</v>
      </c>
      <c r="AT105" s="53"/>
      <c r="AU105" s="67">
        <v>-217.53800000000001</v>
      </c>
      <c r="AV105" s="51"/>
      <c r="AW105" s="69">
        <v>-212.67000000000002</v>
      </c>
      <c r="AX105" s="185"/>
      <c r="AY105" s="70">
        <v>-4.867999999999995</v>
      </c>
      <c r="BA105" s="67">
        <v>1146.002</v>
      </c>
      <c r="BB105" s="51"/>
      <c r="BC105" s="69">
        <v>556.56899999999996</v>
      </c>
      <c r="BD105" s="51"/>
      <c r="BE105" s="70">
        <v>589.43299999999999</v>
      </c>
      <c r="BG105" s="67">
        <v>-166</v>
      </c>
      <c r="BH105" s="51"/>
      <c r="BI105" s="69">
        <v>-164.6</v>
      </c>
      <c r="BJ105" s="185"/>
      <c r="BK105" s="70">
        <v>-1.4000000000000057</v>
      </c>
      <c r="BL105" s="53"/>
      <c r="BN105" s="67">
        <v>-41</v>
      </c>
      <c r="BO105" s="51"/>
      <c r="BP105" s="69">
        <v>-42.9</v>
      </c>
      <c r="BQ105" s="185"/>
      <c r="BR105" s="70">
        <v>1.8999999999999986</v>
      </c>
      <c r="BS105" s="53"/>
    </row>
    <row r="106" spans="1:71" s="17" customFormat="1" outlineLevel="3">
      <c r="D106" s="184" t="s">
        <v>88</v>
      </c>
      <c r="E106" s="67">
        <v>888.71199999999999</v>
      </c>
      <c r="F106" s="51"/>
      <c r="G106" s="69">
        <v>904.2170000000001</v>
      </c>
      <c r="H106" s="51"/>
      <c r="I106" s="70">
        <v>-15.505000000000109</v>
      </c>
      <c r="J106" s="175"/>
      <c r="K106" s="67">
        <v>-982.4079999999999</v>
      </c>
      <c r="L106" s="51"/>
      <c r="M106" s="69">
        <v>-1019.165</v>
      </c>
      <c r="N106" s="185"/>
      <c r="O106" s="70">
        <v>36.757000000000062</v>
      </c>
      <c r="P106" s="53"/>
      <c r="Q106" s="261">
        <v>-93.695999999999998</v>
      </c>
      <c r="R106" s="51"/>
      <c r="S106" s="69">
        <v>-114.94799999999991</v>
      </c>
      <c r="T106" s="185"/>
      <c r="U106" s="70">
        <v>21.25199999999991</v>
      </c>
      <c r="V106" s="25"/>
      <c r="W106" s="67">
        <v>-2.9079999999999999</v>
      </c>
      <c r="X106" s="51"/>
      <c r="Y106" s="69">
        <v>-2.9079999999999999</v>
      </c>
      <c r="Z106" s="185"/>
      <c r="AA106" s="70">
        <v>0</v>
      </c>
      <c r="AB106" s="53"/>
      <c r="AC106" s="67">
        <v>0</v>
      </c>
      <c r="AD106" s="51"/>
      <c r="AE106" s="69">
        <v>0</v>
      </c>
      <c r="AF106" s="185"/>
      <c r="AG106" s="70">
        <v>0</v>
      </c>
      <c r="AH106" s="53"/>
      <c r="AI106" s="67">
        <v>-4.1210000000000004</v>
      </c>
      <c r="AJ106" s="51"/>
      <c r="AK106" s="69">
        <v>-4.1219999999999999</v>
      </c>
      <c r="AL106" s="185"/>
      <c r="AM106" s="70">
        <v>9.9999999999944578E-4</v>
      </c>
      <c r="AN106" s="53"/>
      <c r="AO106" s="67">
        <v>-42.040999999999997</v>
      </c>
      <c r="AP106" s="51"/>
      <c r="AQ106" s="69">
        <v>-41.195999999999998</v>
      </c>
      <c r="AR106" s="185"/>
      <c r="AS106" s="70">
        <v>-0.84499999999999886</v>
      </c>
      <c r="AT106" s="53"/>
      <c r="AU106" s="67">
        <v>-49.07</v>
      </c>
      <c r="AV106" s="51"/>
      <c r="AW106" s="69">
        <v>-48.225999999999999</v>
      </c>
      <c r="AX106" s="185"/>
      <c r="AY106" s="70">
        <v>-0.84400000000000119</v>
      </c>
      <c r="BA106" s="67">
        <v>-51.655000000000001</v>
      </c>
      <c r="BB106" s="51"/>
      <c r="BC106" s="69">
        <v>-73.75199999999991</v>
      </c>
      <c r="BD106" s="51"/>
      <c r="BE106" s="70">
        <v>22.096999999999909</v>
      </c>
      <c r="BG106" s="67">
        <v>-42.040999999999997</v>
      </c>
      <c r="BH106" s="51"/>
      <c r="BI106" s="69">
        <v>-41.195999999999998</v>
      </c>
      <c r="BJ106" s="185"/>
      <c r="BK106" s="70">
        <v>-0.84499999999999886</v>
      </c>
      <c r="BL106" s="53"/>
      <c r="BN106" s="67">
        <v>0</v>
      </c>
      <c r="BO106" s="51"/>
      <c r="BP106" s="69">
        <v>0</v>
      </c>
      <c r="BQ106" s="185"/>
      <c r="BR106" s="70">
        <v>0</v>
      </c>
      <c r="BS106" s="53"/>
    </row>
    <row r="107" spans="1:71" s="17" customFormat="1" outlineLevel="3">
      <c r="D107" s="184" t="s">
        <v>68</v>
      </c>
      <c r="E107" s="67">
        <v>2002.4830000000002</v>
      </c>
      <c r="F107" s="51"/>
      <c r="G107" s="69">
        <v>2134.3230000000003</v>
      </c>
      <c r="H107" s="51"/>
      <c r="I107" s="70">
        <v>-131.84000000000015</v>
      </c>
      <c r="J107" s="175"/>
      <c r="K107" s="67">
        <v>-3278.0369999999998</v>
      </c>
      <c r="L107" s="51"/>
      <c r="M107" s="69">
        <v>-3326.7269999999999</v>
      </c>
      <c r="N107" s="185"/>
      <c r="O107" s="70">
        <v>48.690000000000055</v>
      </c>
      <c r="P107" s="53"/>
      <c r="Q107" s="67">
        <v>-1375.0029999999999</v>
      </c>
      <c r="R107" s="51"/>
      <c r="S107" s="69">
        <v>-1229.1600000000003</v>
      </c>
      <c r="T107" s="185"/>
      <c r="U107" s="70">
        <v>-145.84299999999962</v>
      </c>
      <c r="V107" s="25"/>
      <c r="W107" s="67">
        <v>-16.72</v>
      </c>
      <c r="X107" s="51"/>
      <c r="Y107" s="69">
        <v>-17.047999999999998</v>
      </c>
      <c r="Z107" s="185"/>
      <c r="AA107" s="70">
        <v>0.3279999999999994</v>
      </c>
      <c r="AB107" s="53"/>
      <c r="AC107" s="67">
        <v>4.75</v>
      </c>
      <c r="AD107" s="51"/>
      <c r="AE107" s="69">
        <v>-6.67</v>
      </c>
      <c r="AF107" s="185"/>
      <c r="AG107" s="70">
        <v>11.42</v>
      </c>
      <c r="AH107" s="53"/>
      <c r="AI107" s="67">
        <v>-23.71</v>
      </c>
      <c r="AJ107" s="51"/>
      <c r="AK107" s="69">
        <v>-24.2</v>
      </c>
      <c r="AL107" s="185"/>
      <c r="AM107" s="70">
        <v>0.48999999999999844</v>
      </c>
      <c r="AN107" s="53"/>
      <c r="AO107" s="67">
        <v>-151.93099999999998</v>
      </c>
      <c r="AP107" s="51"/>
      <c r="AQ107" s="69">
        <v>-151.94499999999999</v>
      </c>
      <c r="AR107" s="185"/>
      <c r="AS107" s="70">
        <v>1.4000000000010004E-2</v>
      </c>
      <c r="AT107" s="53"/>
      <c r="AU107" s="67">
        <v>-187.61099999999999</v>
      </c>
      <c r="AV107" s="51"/>
      <c r="AW107" s="69">
        <v>-199.863</v>
      </c>
      <c r="AX107" s="185"/>
      <c r="AY107" s="70">
        <v>12.25200000000001</v>
      </c>
      <c r="BA107" s="67">
        <v>-1223.0719999999999</v>
      </c>
      <c r="BB107" s="51"/>
      <c r="BC107" s="69">
        <v>-1077.2150000000001</v>
      </c>
      <c r="BD107" s="51"/>
      <c r="BE107" s="70">
        <v>-145.85699999999974</v>
      </c>
      <c r="BG107" s="67">
        <v>-120.07899999999999</v>
      </c>
      <c r="BH107" s="51"/>
      <c r="BI107" s="69">
        <v>-120.08800000000001</v>
      </c>
      <c r="BJ107" s="185"/>
      <c r="BK107" s="70">
        <v>9.0000000000145519E-3</v>
      </c>
      <c r="BL107" s="53"/>
      <c r="BN107" s="67">
        <v>-31.851999999999997</v>
      </c>
      <c r="BO107" s="51"/>
      <c r="BP107" s="69">
        <v>-31.856999999999999</v>
      </c>
      <c r="BQ107" s="185"/>
      <c r="BR107" s="70">
        <v>5.000000000002558E-3</v>
      </c>
      <c r="BS107" s="53"/>
    </row>
    <row r="108" spans="1:71" s="17" customFormat="1" outlineLevel="3">
      <c r="D108" s="184" t="s">
        <v>77</v>
      </c>
      <c r="E108" s="67">
        <v>2704.433</v>
      </c>
      <c r="F108" s="51"/>
      <c r="G108" s="69">
        <v>3007.355</v>
      </c>
      <c r="H108" s="51"/>
      <c r="I108" s="70">
        <v>-302.92200000000003</v>
      </c>
      <c r="J108" s="175"/>
      <c r="K108" s="67">
        <v>-4547.1039999999994</v>
      </c>
      <c r="L108" s="51"/>
      <c r="M108" s="69">
        <v>-4638.424</v>
      </c>
      <c r="N108" s="185"/>
      <c r="O108" s="70">
        <v>91.320000000000618</v>
      </c>
      <c r="P108" s="53"/>
      <c r="Q108" s="67">
        <v>-1844.1729999999998</v>
      </c>
      <c r="R108" s="51"/>
      <c r="S108" s="69">
        <v>-1631.0689999999991</v>
      </c>
      <c r="T108" s="185"/>
      <c r="U108" s="70">
        <v>-213.10400000000072</v>
      </c>
      <c r="V108" s="25"/>
      <c r="W108" s="67">
        <v>-6.5430000000000001</v>
      </c>
      <c r="X108" s="51"/>
      <c r="Y108" s="69">
        <v>-6.5430000000000001</v>
      </c>
      <c r="Z108" s="185"/>
      <c r="AA108" s="70">
        <v>0</v>
      </c>
      <c r="AB108" s="53"/>
      <c r="AC108" s="67">
        <v>-1.4379999999999999</v>
      </c>
      <c r="AD108" s="51"/>
      <c r="AE108" s="69">
        <v>-1.5</v>
      </c>
      <c r="AF108" s="185"/>
      <c r="AG108" s="70">
        <v>6.2000000000000055E-2</v>
      </c>
      <c r="AH108" s="53"/>
      <c r="AI108" s="67">
        <v>-9.2759999999999998</v>
      </c>
      <c r="AJ108" s="51"/>
      <c r="AK108" s="69">
        <v>-9.2759999999999998</v>
      </c>
      <c r="AL108" s="185"/>
      <c r="AM108" s="70">
        <v>0</v>
      </c>
      <c r="AN108" s="53"/>
      <c r="AO108" s="67">
        <v>-181.03199999999998</v>
      </c>
      <c r="AP108" s="51"/>
      <c r="AQ108" s="69">
        <v>-181.02499999999998</v>
      </c>
      <c r="AR108" s="185"/>
      <c r="AS108" s="70">
        <v>-7.0000000000050022E-3</v>
      </c>
      <c r="AT108" s="53"/>
      <c r="AU108" s="67">
        <v>-198.28899999999999</v>
      </c>
      <c r="AV108" s="51"/>
      <c r="AW108" s="69">
        <v>-198.34399999999999</v>
      </c>
      <c r="AX108" s="185"/>
      <c r="AY108" s="70">
        <v>5.5000000000006821E-2</v>
      </c>
      <c r="BA108" s="67">
        <v>-1663.1389999999999</v>
      </c>
      <c r="BB108" s="51"/>
      <c r="BC108" s="69">
        <v>-1450.1709999999989</v>
      </c>
      <c r="BD108" s="51"/>
      <c r="BE108" s="70">
        <v>-212.96800000000098</v>
      </c>
      <c r="BG108" s="67" t="e">
        <v>#VALUE!</v>
      </c>
      <c r="BH108" s="51"/>
      <c r="BI108" s="69" t="e">
        <v>#VALUE!</v>
      </c>
      <c r="BJ108" s="185"/>
      <c r="BK108" s="70" t="e">
        <v>#VALUE!</v>
      </c>
      <c r="BL108" s="53"/>
      <c r="BN108" s="67">
        <v>-29.111000000000001</v>
      </c>
      <c r="BO108" s="51"/>
      <c r="BP108" s="69">
        <v>-29.112000000000002</v>
      </c>
      <c r="BQ108" s="185"/>
      <c r="BR108" s="70">
        <v>1.0000000000012221E-3</v>
      </c>
      <c r="BS108" s="53"/>
    </row>
    <row r="109" spans="1:71" s="17" customFormat="1" outlineLevel="3">
      <c r="D109" s="184" t="s">
        <v>75</v>
      </c>
      <c r="E109" s="67">
        <v>627</v>
      </c>
      <c r="F109" s="51"/>
      <c r="G109" s="69">
        <v>887.2</v>
      </c>
      <c r="H109" s="51"/>
      <c r="I109" s="70">
        <v>-260.20000000000005</v>
      </c>
      <c r="J109" s="175"/>
      <c r="K109" s="67">
        <v>-1258.0999999999999</v>
      </c>
      <c r="L109" s="51"/>
      <c r="M109" s="69">
        <v>-1136.5540000000001</v>
      </c>
      <c r="N109" s="185"/>
      <c r="O109" s="70">
        <v>-121.54599999999982</v>
      </c>
      <c r="P109" s="53"/>
      <c r="Q109" s="67">
        <v>-631.1</v>
      </c>
      <c r="R109" s="51"/>
      <c r="S109" s="69">
        <v>-249.35399999999998</v>
      </c>
      <c r="T109" s="185"/>
      <c r="U109" s="70">
        <v>-381.74600000000004</v>
      </c>
      <c r="V109" s="25"/>
      <c r="W109" s="67">
        <v>0</v>
      </c>
      <c r="X109" s="51"/>
      <c r="Y109" s="69">
        <v>-1.6</v>
      </c>
      <c r="Z109" s="185"/>
      <c r="AA109" s="70">
        <v>1.6</v>
      </c>
      <c r="AB109" s="53"/>
      <c r="AC109" s="67">
        <v>0</v>
      </c>
      <c r="AD109" s="51"/>
      <c r="AE109" s="69">
        <v>0</v>
      </c>
      <c r="AF109" s="185"/>
      <c r="AG109" s="70">
        <v>0</v>
      </c>
      <c r="AH109" s="53"/>
      <c r="AI109" s="67">
        <v>0</v>
      </c>
      <c r="AJ109" s="51"/>
      <c r="AK109" s="69">
        <v>-1.5</v>
      </c>
      <c r="AL109" s="185"/>
      <c r="AM109" s="70">
        <v>1.5</v>
      </c>
      <c r="AN109" s="53"/>
      <c r="AO109" s="67">
        <v>-30.700000000000003</v>
      </c>
      <c r="AP109" s="51"/>
      <c r="AQ109" s="69">
        <v>-25.283999999999999</v>
      </c>
      <c r="AR109" s="185"/>
      <c r="AS109" s="70">
        <v>-5.4160000000000039</v>
      </c>
      <c r="AT109" s="53"/>
      <c r="AU109" s="67">
        <v>-30.700000000000003</v>
      </c>
      <c r="AV109" s="51"/>
      <c r="AW109" s="69">
        <v>-28.384</v>
      </c>
      <c r="AX109" s="185"/>
      <c r="AY109" s="70">
        <v>-2.3160000000000025</v>
      </c>
      <c r="BA109" s="67">
        <v>-600.4</v>
      </c>
      <c r="BB109" s="51"/>
      <c r="BC109" s="69">
        <v>-224.07</v>
      </c>
      <c r="BD109" s="51"/>
      <c r="BE109" s="70">
        <v>-376.33</v>
      </c>
      <c r="BG109" s="67">
        <v>-30.700000000000003</v>
      </c>
      <c r="BH109" s="51"/>
      <c r="BI109" s="69">
        <v>-25.283999999999999</v>
      </c>
      <c r="BJ109" s="185"/>
      <c r="BK109" s="70">
        <v>-5.4160000000000039</v>
      </c>
      <c r="BL109" s="53"/>
      <c r="BN109" s="67">
        <v>0</v>
      </c>
      <c r="BO109" s="51"/>
      <c r="BP109" s="69">
        <v>0</v>
      </c>
      <c r="BQ109" s="185"/>
      <c r="BR109" s="70">
        <v>0</v>
      </c>
      <c r="BS109" s="53"/>
    </row>
    <row r="110" spans="1:71" s="17" customFormat="1" outlineLevel="3">
      <c r="D110" s="184" t="s">
        <v>96</v>
      </c>
      <c r="E110" s="67">
        <v>1351.6368466639549</v>
      </c>
      <c r="F110" s="51"/>
      <c r="G110" s="69">
        <v>1767.5510491642481</v>
      </c>
      <c r="H110" s="51"/>
      <c r="I110" s="70">
        <v>-415.91420250029319</v>
      </c>
      <c r="J110" s="175"/>
      <c r="K110" s="67">
        <v>-2369.7067910016708</v>
      </c>
      <c r="L110" s="51"/>
      <c r="M110" s="69">
        <v>-2509.202153969411</v>
      </c>
      <c r="N110" s="185"/>
      <c r="O110" s="70">
        <v>139.49536296774022</v>
      </c>
      <c r="P110" s="53"/>
      <c r="Q110" s="67">
        <v>-1036.6507638073019</v>
      </c>
      <c r="R110" s="51"/>
      <c r="S110" s="69">
        <v>-757.82860751874705</v>
      </c>
      <c r="T110" s="185"/>
      <c r="U110" s="70">
        <v>-278.82215628855488</v>
      </c>
      <c r="V110" s="25"/>
      <c r="W110" s="67">
        <v>-4.0654471248559698</v>
      </c>
      <c r="X110" s="51"/>
      <c r="Y110" s="69">
        <v>-6.0706007687097099</v>
      </c>
      <c r="Z110" s="185"/>
      <c r="AA110" s="70">
        <v>2.0051536438537401</v>
      </c>
      <c r="AB110" s="53"/>
      <c r="AC110" s="67">
        <v>0</v>
      </c>
      <c r="AD110" s="51"/>
      <c r="AE110" s="69">
        <v>0</v>
      </c>
      <c r="AF110" s="185"/>
      <c r="AG110" s="70">
        <v>0</v>
      </c>
      <c r="AH110" s="53"/>
      <c r="AI110" s="67">
        <v>7.6451752083093298</v>
      </c>
      <c r="AJ110" s="51"/>
      <c r="AK110" s="69">
        <v>6.8134549743479198</v>
      </c>
      <c r="AL110" s="185"/>
      <c r="AM110" s="70">
        <v>0.83172023396141004</v>
      </c>
      <c r="AN110" s="53"/>
      <c r="AO110" s="67">
        <v>-114.65425127237999</v>
      </c>
      <c r="AP110" s="51"/>
      <c r="AQ110" s="69">
        <v>-116.27188224541109</v>
      </c>
      <c r="AR110" s="185"/>
      <c r="AS110" s="70">
        <v>1.6176309730310976</v>
      </c>
      <c r="AT110" s="53"/>
      <c r="AU110" s="67">
        <v>-111.07452318892663</v>
      </c>
      <c r="AV110" s="51"/>
      <c r="AW110" s="69">
        <v>-115.5290280397729</v>
      </c>
      <c r="AX110" s="185"/>
      <c r="AY110" s="70">
        <v>4.4545048508462628</v>
      </c>
      <c r="BA110" s="67">
        <v>-921.99651253492198</v>
      </c>
      <c r="BB110" s="51"/>
      <c r="BC110" s="69">
        <v>-641.55672527333593</v>
      </c>
      <c r="BD110" s="51"/>
      <c r="BE110" s="70">
        <v>-280.43978726158605</v>
      </c>
      <c r="BG110" s="67">
        <v>-96.025969708815495</v>
      </c>
      <c r="BH110" s="51"/>
      <c r="BI110" s="69">
        <v>-97.5763222612497</v>
      </c>
      <c r="BJ110" s="185"/>
      <c r="BK110" s="70">
        <v>1.5503525524342052</v>
      </c>
      <c r="BL110" s="53"/>
      <c r="BN110" s="67">
        <v>-18.628281563564361</v>
      </c>
      <c r="BO110" s="51"/>
      <c r="BP110" s="69">
        <v>-18.695559984161427</v>
      </c>
      <c r="BQ110" s="185"/>
      <c r="BR110" s="70">
        <v>6.7278420597066457E-2</v>
      </c>
      <c r="BS110" s="53"/>
    </row>
    <row r="111" spans="1:71" s="17" customFormat="1" outlineLevel="3">
      <c r="D111" s="192" t="s">
        <v>94</v>
      </c>
      <c r="E111" s="67">
        <v>1402</v>
      </c>
      <c r="F111" s="51"/>
      <c r="G111" s="193">
        <v>1036.999</v>
      </c>
      <c r="H111" s="51"/>
      <c r="I111" s="70">
        <v>365.00099999999998</v>
      </c>
      <c r="J111" s="175"/>
      <c r="K111" s="67">
        <v>-2026.002</v>
      </c>
      <c r="L111" s="51"/>
      <c r="M111" s="193">
        <v>-2100.0030000000002</v>
      </c>
      <c r="N111" s="194"/>
      <c r="O111" s="70">
        <v>74.001000000000204</v>
      </c>
      <c r="P111" s="53"/>
      <c r="Q111" s="195">
        <v>-624.00199999999995</v>
      </c>
      <c r="R111" s="51"/>
      <c r="S111" s="193">
        <v>-1062.0040000000001</v>
      </c>
      <c r="T111" s="194"/>
      <c r="U111" s="94">
        <v>438.00200000000018</v>
      </c>
      <c r="V111" s="25"/>
      <c r="W111" s="195">
        <v>-13</v>
      </c>
      <c r="X111" s="51"/>
      <c r="Y111" s="193">
        <v>-16</v>
      </c>
      <c r="Z111" s="194"/>
      <c r="AA111" s="94">
        <v>3</v>
      </c>
      <c r="AB111" s="53"/>
      <c r="AC111" s="195">
        <v>0</v>
      </c>
      <c r="AD111" s="51"/>
      <c r="AE111" s="193">
        <v>0</v>
      </c>
      <c r="AF111" s="194"/>
      <c r="AG111" s="94">
        <v>0</v>
      </c>
      <c r="AH111" s="53"/>
      <c r="AI111" s="195">
        <v>-19</v>
      </c>
      <c r="AJ111" s="51"/>
      <c r="AK111" s="193">
        <v>-18</v>
      </c>
      <c r="AL111" s="194"/>
      <c r="AM111" s="94">
        <v>-1</v>
      </c>
      <c r="AN111" s="53"/>
      <c r="AO111" s="195">
        <v>-55</v>
      </c>
      <c r="AP111" s="51"/>
      <c r="AQ111" s="193">
        <v>-56</v>
      </c>
      <c r="AR111" s="194"/>
      <c r="AS111" s="94">
        <v>1</v>
      </c>
      <c r="AT111" s="53"/>
      <c r="AU111" s="195">
        <v>-87</v>
      </c>
      <c r="AV111" s="51"/>
      <c r="AW111" s="193">
        <v>-90</v>
      </c>
      <c r="AX111" s="194"/>
      <c r="AY111" s="94">
        <v>3</v>
      </c>
      <c r="BA111" s="195">
        <v>-569.00199999999995</v>
      </c>
      <c r="BB111" s="51"/>
      <c r="BC111" s="193">
        <v>-1006.0040000000001</v>
      </c>
      <c r="BD111" s="51"/>
      <c r="BE111" s="94">
        <v>437.00200000000018</v>
      </c>
      <c r="BG111" s="195">
        <v>-47</v>
      </c>
      <c r="BH111" s="51"/>
      <c r="BI111" s="193">
        <v>-51</v>
      </c>
      <c r="BJ111" s="194"/>
      <c r="BK111" s="94">
        <v>4</v>
      </c>
      <c r="BL111" s="53"/>
      <c r="BN111" s="195">
        <v>-8</v>
      </c>
      <c r="BO111" s="51"/>
      <c r="BP111" s="193">
        <v>-5</v>
      </c>
      <c r="BQ111" s="194"/>
      <c r="BR111" s="94">
        <v>-3</v>
      </c>
      <c r="BS111" s="53"/>
    </row>
    <row r="112" spans="1:71" s="17" customFormat="1" outlineLevel="3">
      <c r="D112" s="192" t="s">
        <v>100</v>
      </c>
      <c r="E112" s="67">
        <v>321</v>
      </c>
      <c r="F112" s="51"/>
      <c r="G112" s="193">
        <v>200.18299999999999</v>
      </c>
      <c r="H112" s="51"/>
      <c r="I112" s="70">
        <v>120.81700000000001</v>
      </c>
      <c r="J112" s="175"/>
      <c r="K112" s="67">
        <v>-182.3</v>
      </c>
      <c r="L112" s="51"/>
      <c r="M112" s="193">
        <v>-231.55600000000001</v>
      </c>
      <c r="N112" s="194"/>
      <c r="O112" s="70">
        <v>49.256</v>
      </c>
      <c r="P112" s="53"/>
      <c r="Q112" s="195">
        <v>138.69999999999999</v>
      </c>
      <c r="R112" s="51"/>
      <c r="S112" s="193">
        <v>-31.373000000000001</v>
      </c>
      <c r="T112" s="194"/>
      <c r="U112" s="94">
        <v>170.07299999999998</v>
      </c>
      <c r="V112" s="25"/>
      <c r="W112" s="195">
        <v>0</v>
      </c>
      <c r="X112" s="51"/>
      <c r="Y112" s="193">
        <v>0</v>
      </c>
      <c r="Z112" s="194"/>
      <c r="AA112" s="94">
        <v>0</v>
      </c>
      <c r="AB112" s="53"/>
      <c r="AC112" s="195">
        <v>-24.25</v>
      </c>
      <c r="AD112" s="51"/>
      <c r="AE112" s="193">
        <v>-24.332999999999998</v>
      </c>
      <c r="AF112" s="194"/>
      <c r="AG112" s="94">
        <v>8.2999999999998408E-2</v>
      </c>
      <c r="AH112" s="53"/>
      <c r="AI112" s="195">
        <v>0</v>
      </c>
      <c r="AJ112" s="51"/>
      <c r="AK112" s="193">
        <v>0</v>
      </c>
      <c r="AL112" s="194"/>
      <c r="AM112" s="94">
        <v>0</v>
      </c>
      <c r="AN112" s="53"/>
      <c r="AO112" s="195">
        <v>-8.1</v>
      </c>
      <c r="AP112" s="51"/>
      <c r="AQ112" s="193">
        <v>-8.6920000000000002</v>
      </c>
      <c r="AR112" s="194"/>
      <c r="AS112" s="94">
        <v>0.59200000000000053</v>
      </c>
      <c r="AT112" s="53"/>
      <c r="AU112" s="195">
        <v>-32.35</v>
      </c>
      <c r="AV112" s="51"/>
      <c r="AW112" s="193">
        <v>-33.024999999999999</v>
      </c>
      <c r="AX112" s="194"/>
      <c r="AY112" s="94">
        <v>0.67499999999999716</v>
      </c>
      <c r="BA112" s="195">
        <v>146.79999999999998</v>
      </c>
      <c r="BB112" s="51"/>
      <c r="BC112" s="193">
        <v>-22.681000000000001</v>
      </c>
      <c r="BD112" s="51"/>
      <c r="BE112" s="94">
        <v>169.48099999999999</v>
      </c>
      <c r="BG112" s="195">
        <v>0</v>
      </c>
      <c r="BH112" s="51"/>
      <c r="BI112" s="193">
        <v>-8.6920000000000002</v>
      </c>
      <c r="BJ112" s="194"/>
      <c r="BK112" s="94">
        <v>8.6920000000000002</v>
      </c>
      <c r="BL112" s="53"/>
      <c r="BN112" s="195">
        <v>-8.1</v>
      </c>
      <c r="BO112" s="51"/>
      <c r="BP112" s="193">
        <v>0</v>
      </c>
      <c r="BQ112" s="194"/>
      <c r="BR112" s="94">
        <v>-8.1</v>
      </c>
      <c r="BS112" s="53"/>
    </row>
    <row r="113" spans="1:71" s="17" customFormat="1" outlineLevel="3">
      <c r="D113" s="184" t="s">
        <v>371</v>
      </c>
      <c r="E113" s="67">
        <v>7.2724155682198131</v>
      </c>
      <c r="F113" s="51"/>
      <c r="G113" s="193">
        <v>-17.773966974869566</v>
      </c>
      <c r="H113" s="51"/>
      <c r="I113" s="70">
        <v>25.046382543089379</v>
      </c>
      <c r="J113" s="175"/>
      <c r="K113" s="67">
        <v>251.03517182175312</v>
      </c>
      <c r="L113" s="51"/>
      <c r="M113" s="193">
        <v>54.448365427632098</v>
      </c>
      <c r="N113" s="194"/>
      <c r="O113" s="70">
        <v>196.58680639412103</v>
      </c>
      <c r="P113" s="53"/>
      <c r="Q113" s="195">
        <v>258.30758738997287</v>
      </c>
      <c r="R113" s="51"/>
      <c r="S113" s="193">
        <v>36.674398452762603</v>
      </c>
      <c r="T113" s="194"/>
      <c r="U113" s="94">
        <v>221.63318893721026</v>
      </c>
      <c r="V113" s="25"/>
      <c r="W113" s="195">
        <v>584.54</v>
      </c>
      <c r="X113" s="51"/>
      <c r="Y113" s="193">
        <v>769.27</v>
      </c>
      <c r="Z113" s="194"/>
      <c r="AA113" s="94">
        <v>-184.73000000000002</v>
      </c>
      <c r="AB113" s="53"/>
      <c r="AC113" s="195">
        <v>0</v>
      </c>
      <c r="AD113" s="51"/>
      <c r="AE113" s="193">
        <v>0</v>
      </c>
      <c r="AF113" s="194"/>
      <c r="AG113" s="94">
        <v>0</v>
      </c>
      <c r="AH113" s="53"/>
      <c r="AI113" s="195">
        <v>0</v>
      </c>
      <c r="AJ113" s="51"/>
      <c r="AK113" s="193">
        <v>0</v>
      </c>
      <c r="AL113" s="194"/>
      <c r="AM113" s="94">
        <v>0</v>
      </c>
      <c r="AN113" s="53"/>
      <c r="AO113" s="195">
        <v>0</v>
      </c>
      <c r="AP113" s="51"/>
      <c r="AQ113" s="193">
        <v>0</v>
      </c>
      <c r="AR113" s="194"/>
      <c r="AS113" s="94">
        <v>0</v>
      </c>
      <c r="AT113" s="53"/>
      <c r="AU113" s="195">
        <v>584.54</v>
      </c>
      <c r="AV113" s="51"/>
      <c r="AW113" s="193">
        <v>769.27</v>
      </c>
      <c r="AX113" s="194"/>
      <c r="AY113" s="94">
        <v>-184.73000000000002</v>
      </c>
      <c r="BA113" s="195">
        <v>258.30758738997287</v>
      </c>
      <c r="BB113" s="51"/>
      <c r="BC113" s="193">
        <v>36.674398452762603</v>
      </c>
      <c r="BD113" s="51"/>
      <c r="BE113" s="94">
        <v>221.63318893721026</v>
      </c>
      <c r="BG113" s="195">
        <v>0</v>
      </c>
      <c r="BH113" s="51"/>
      <c r="BI113" s="193">
        <v>0</v>
      </c>
      <c r="BJ113" s="194"/>
      <c r="BK113" s="94">
        <v>0</v>
      </c>
      <c r="BL113" s="53"/>
      <c r="BN113" s="195">
        <v>0</v>
      </c>
      <c r="BO113" s="51"/>
      <c r="BP113" s="193">
        <v>0</v>
      </c>
      <c r="BQ113" s="194"/>
      <c r="BR113" s="94">
        <v>0</v>
      </c>
      <c r="BS113" s="53"/>
    </row>
    <row r="114" spans="1:71" s="17" customFormat="1" outlineLevel="3">
      <c r="D114" s="184" t="s">
        <v>372</v>
      </c>
      <c r="E114" s="195">
        <v>0</v>
      </c>
      <c r="F114" s="196"/>
      <c r="G114" s="193">
        <v>0</v>
      </c>
      <c r="H114" s="51"/>
      <c r="I114" s="70">
        <v>0</v>
      </c>
      <c r="J114" s="175"/>
      <c r="K114" s="195">
        <v>6783.9279999999999</v>
      </c>
      <c r="L114" s="196"/>
      <c r="M114" s="193">
        <v>6783.9279999999999</v>
      </c>
      <c r="N114" s="51"/>
      <c r="O114" s="70">
        <v>0</v>
      </c>
      <c r="P114" s="175"/>
      <c r="Q114" s="195">
        <v>6783.9279999999999</v>
      </c>
      <c r="R114" s="196"/>
      <c r="S114" s="193">
        <v>6783.9279999999999</v>
      </c>
      <c r="T114" s="51"/>
      <c r="U114" s="70">
        <v>0</v>
      </c>
      <c r="V114" s="25"/>
      <c r="W114" s="195">
        <v>0</v>
      </c>
      <c r="X114" s="196"/>
      <c r="Y114" s="193">
        <v>0</v>
      </c>
      <c r="Z114" s="51"/>
      <c r="AA114" s="70">
        <v>0</v>
      </c>
      <c r="AB114" s="175"/>
      <c r="AC114" s="195">
        <v>0</v>
      </c>
      <c r="AD114" s="196"/>
      <c r="AE114" s="193">
        <v>0</v>
      </c>
      <c r="AF114" s="51"/>
      <c r="AG114" s="70">
        <v>0</v>
      </c>
      <c r="AH114" s="175"/>
      <c r="AI114" s="195">
        <v>0</v>
      </c>
      <c r="AJ114" s="196"/>
      <c r="AK114" s="193">
        <v>0</v>
      </c>
      <c r="AL114" s="51"/>
      <c r="AM114" s="70">
        <v>0</v>
      </c>
      <c r="AN114" s="175"/>
      <c r="AO114" s="195">
        <v>0</v>
      </c>
      <c r="AP114" s="196"/>
      <c r="AQ114" s="193">
        <v>0</v>
      </c>
      <c r="AR114" s="51"/>
      <c r="AS114" s="70">
        <v>0</v>
      </c>
      <c r="AT114" s="175"/>
      <c r="AU114" s="195">
        <v>0</v>
      </c>
      <c r="AV114" s="196"/>
      <c r="AW114" s="193">
        <v>0</v>
      </c>
      <c r="AX114" s="51"/>
      <c r="AY114" s="70">
        <v>0</v>
      </c>
      <c r="BA114" s="195">
        <v>6783.9279999999999</v>
      </c>
      <c r="BB114" s="196"/>
      <c r="BC114" s="193">
        <v>6783.9279999999999</v>
      </c>
      <c r="BD114" s="51"/>
      <c r="BE114" s="70">
        <v>0</v>
      </c>
      <c r="BG114" s="195">
        <v>0</v>
      </c>
      <c r="BH114" s="196"/>
      <c r="BI114" s="193">
        <v>0</v>
      </c>
      <c r="BJ114" s="51"/>
      <c r="BK114" s="70">
        <v>0</v>
      </c>
      <c r="BL114" s="175"/>
      <c r="BN114" s="195">
        <v>0</v>
      </c>
      <c r="BO114" s="196"/>
      <c r="BP114" s="193">
        <v>0</v>
      </c>
      <c r="BQ114" s="51"/>
      <c r="BR114" s="70">
        <v>0</v>
      </c>
      <c r="BS114" s="175"/>
    </row>
    <row r="115" spans="1:71" s="17" customFormat="1" outlineLevel="3">
      <c r="D115" s="192" t="s">
        <v>368</v>
      </c>
      <c r="E115" s="195">
        <v>-2047.644</v>
      </c>
      <c r="F115" s="51"/>
      <c r="G115" s="193">
        <v>-1442.5</v>
      </c>
      <c r="H115" s="51"/>
      <c r="I115" s="70">
        <v>-605.14400000000001</v>
      </c>
      <c r="J115" s="175"/>
      <c r="K115" s="67">
        <v>-11678.936</v>
      </c>
      <c r="L115" s="51"/>
      <c r="M115" s="193">
        <v>-11655.902</v>
      </c>
      <c r="N115" s="194"/>
      <c r="O115" s="70">
        <v>-23.033999999999651</v>
      </c>
      <c r="P115" s="53"/>
      <c r="Q115" s="195">
        <v>-13726.58</v>
      </c>
      <c r="R115" s="51"/>
      <c r="S115" s="193">
        <v>-13098.402</v>
      </c>
      <c r="T115" s="194"/>
      <c r="U115" s="94">
        <v>-628.17799999999988</v>
      </c>
      <c r="V115" s="25"/>
      <c r="W115" s="195">
        <v>0</v>
      </c>
      <c r="X115" s="51"/>
      <c r="Y115" s="193">
        <v>0</v>
      </c>
      <c r="Z115" s="194"/>
      <c r="AA115" s="94">
        <v>0</v>
      </c>
      <c r="AB115" s="53"/>
      <c r="AC115" s="195">
        <v>0</v>
      </c>
      <c r="AD115" s="51"/>
      <c r="AE115" s="193">
        <v>0</v>
      </c>
      <c r="AF115" s="194"/>
      <c r="AG115" s="94">
        <v>0</v>
      </c>
      <c r="AH115" s="53"/>
      <c r="AI115" s="195">
        <v>0</v>
      </c>
      <c r="AJ115" s="51"/>
      <c r="AK115" s="193">
        <v>0</v>
      </c>
      <c r="AL115" s="194"/>
      <c r="AM115" s="94">
        <v>0</v>
      </c>
      <c r="AN115" s="53"/>
      <c r="AO115" s="195">
        <v>0</v>
      </c>
      <c r="AP115" s="51"/>
      <c r="AQ115" s="193">
        <v>0</v>
      </c>
      <c r="AR115" s="194"/>
      <c r="AS115" s="94">
        <v>0</v>
      </c>
      <c r="AT115" s="53"/>
      <c r="AU115" s="195">
        <v>0</v>
      </c>
      <c r="AV115" s="51"/>
      <c r="AW115" s="193">
        <v>0</v>
      </c>
      <c r="AX115" s="194"/>
      <c r="AY115" s="94">
        <v>0</v>
      </c>
      <c r="BA115" s="195">
        <v>-13726.58</v>
      </c>
      <c r="BB115" s="51"/>
      <c r="BC115" s="193">
        <v>-13098.402</v>
      </c>
      <c r="BD115" s="51"/>
      <c r="BE115" s="94">
        <v>-628.17799999999988</v>
      </c>
      <c r="BG115" s="195">
        <v>0</v>
      </c>
      <c r="BH115" s="51"/>
      <c r="BI115" s="193">
        <v>0</v>
      </c>
      <c r="BJ115" s="194"/>
      <c r="BK115" s="94">
        <v>0</v>
      </c>
      <c r="BL115" s="53"/>
      <c r="BN115" s="195">
        <v>0</v>
      </c>
      <c r="BO115" s="51"/>
      <c r="BP115" s="193">
        <v>0</v>
      </c>
      <c r="BQ115" s="194"/>
      <c r="BR115" s="94">
        <v>0</v>
      </c>
      <c r="BS115" s="53"/>
    </row>
    <row r="116" spans="1:71" s="197" customFormat="1" outlineLevel="3">
      <c r="D116" s="198" t="s">
        <v>373</v>
      </c>
      <c r="E116" s="57">
        <v>0</v>
      </c>
      <c r="F116" s="62"/>
      <c r="G116" s="59">
        <v>930</v>
      </c>
      <c r="H116" s="62"/>
      <c r="I116" s="199">
        <v>-930</v>
      </c>
      <c r="J116" s="200"/>
      <c r="K116" s="57">
        <v>-19035</v>
      </c>
      <c r="L116" s="62"/>
      <c r="M116" s="59">
        <v>-15755.5</v>
      </c>
      <c r="N116" s="201"/>
      <c r="O116" s="199">
        <v>-3279.5</v>
      </c>
      <c r="P116" s="63"/>
      <c r="Q116" s="57">
        <v>-19035</v>
      </c>
      <c r="R116" s="62"/>
      <c r="S116" s="59">
        <v>-14825.5</v>
      </c>
      <c r="T116" s="201"/>
      <c r="U116" s="60">
        <v>-4209.5</v>
      </c>
      <c r="V116" s="25"/>
      <c r="W116" s="57" t="e">
        <v>#REF!</v>
      </c>
      <c r="X116" s="62"/>
      <c r="Y116" s="59" t="e">
        <v>#REF!</v>
      </c>
      <c r="Z116" s="201"/>
      <c r="AA116" s="60" t="e">
        <v>#REF!</v>
      </c>
      <c r="AB116" s="63"/>
      <c r="AC116" s="57" t="e">
        <v>#REF!</v>
      </c>
      <c r="AD116" s="62"/>
      <c r="AE116" s="59" t="e">
        <v>#REF!</v>
      </c>
      <c r="AF116" s="201"/>
      <c r="AG116" s="60" t="e">
        <v>#REF!</v>
      </c>
      <c r="AH116" s="63"/>
      <c r="AI116" s="57" t="e">
        <v>#REF!</v>
      </c>
      <c r="AJ116" s="62"/>
      <c r="AK116" s="59" t="e">
        <v>#REF!</v>
      </c>
      <c r="AL116" s="201"/>
      <c r="AM116" s="60" t="e">
        <v>#REF!</v>
      </c>
      <c r="AN116" s="63"/>
      <c r="AO116" s="57" t="e">
        <v>#REF!</v>
      </c>
      <c r="AP116" s="62"/>
      <c r="AQ116" s="59" t="e">
        <v>#REF!</v>
      </c>
      <c r="AR116" s="201"/>
      <c r="AS116" s="60" t="e">
        <v>#REF!</v>
      </c>
      <c r="AT116" s="63"/>
      <c r="AU116" s="57" t="e">
        <v>#REF!</v>
      </c>
      <c r="AV116" s="62"/>
      <c r="AW116" s="59" t="e">
        <v>#REF!</v>
      </c>
      <c r="AX116" s="201"/>
      <c r="AY116" s="60" t="e">
        <v>#REF!</v>
      </c>
      <c r="BA116" s="57" t="e">
        <v>#REF!</v>
      </c>
      <c r="BB116" s="62"/>
      <c r="BC116" s="59" t="e">
        <v>#REF!</v>
      </c>
      <c r="BD116" s="51"/>
      <c r="BE116" s="60" t="e">
        <v>#REF!</v>
      </c>
      <c r="BG116" s="57" t="e">
        <v>#REF!</v>
      </c>
      <c r="BH116" s="62"/>
      <c r="BI116" s="59" t="e">
        <v>#REF!</v>
      </c>
      <c r="BJ116" s="201"/>
      <c r="BK116" s="60" t="e">
        <v>#REF!</v>
      </c>
      <c r="BL116" s="63"/>
      <c r="BN116" s="57" t="e">
        <v>#REF!</v>
      </c>
      <c r="BO116" s="62"/>
      <c r="BP116" s="59" t="e">
        <v>#REF!</v>
      </c>
      <c r="BQ116" s="201"/>
      <c r="BR116" s="60" t="e">
        <v>#REF!</v>
      </c>
      <c r="BS116" s="63"/>
    </row>
    <row r="117" spans="1:71" s="17" customFormat="1" ht="14.4" outlineLevel="3" thickBot="1">
      <c r="D117" s="202" t="s">
        <v>363</v>
      </c>
      <c r="E117" s="203">
        <v>92851.316447177422</v>
      </c>
      <c r="F117" s="204"/>
      <c r="G117" s="205">
        <v>92887.046375919075</v>
      </c>
      <c r="H117" s="204"/>
      <c r="I117" s="206">
        <v>-35.729928741653566</v>
      </c>
      <c r="J117" s="175"/>
      <c r="K117" s="203">
        <v>-176532.57653448882</v>
      </c>
      <c r="L117" s="204"/>
      <c r="M117" s="205">
        <v>-178213.93144131592</v>
      </c>
      <c r="N117" s="207"/>
      <c r="O117" s="206">
        <v>1681.354906827095</v>
      </c>
      <c r="P117" s="53"/>
      <c r="Q117" s="203">
        <v>-84377.523565839801</v>
      </c>
      <c r="R117" s="204"/>
      <c r="S117" s="205">
        <v>-85527.638355056741</v>
      </c>
      <c r="T117" s="207"/>
      <c r="U117" s="206">
        <v>1150.1147892169392</v>
      </c>
      <c r="V117" s="25"/>
      <c r="W117" s="203" t="e">
        <v>#REF!</v>
      </c>
      <c r="X117" s="204"/>
      <c r="Y117" s="205" t="e">
        <v>#REF!</v>
      </c>
      <c r="Z117" s="207"/>
      <c r="AA117" s="206" t="e">
        <v>#REF!</v>
      </c>
      <c r="AB117" s="53"/>
      <c r="AC117" s="203" t="e">
        <v>#REF!</v>
      </c>
      <c r="AD117" s="204"/>
      <c r="AE117" s="205" t="e">
        <v>#REF!</v>
      </c>
      <c r="AF117" s="207"/>
      <c r="AG117" s="206" t="e">
        <v>#REF!</v>
      </c>
      <c r="AH117" s="53"/>
      <c r="AI117" s="203" t="e">
        <v>#REF!</v>
      </c>
      <c r="AJ117" s="204"/>
      <c r="AK117" s="205" t="e">
        <v>#REF!</v>
      </c>
      <c r="AL117" s="207"/>
      <c r="AM117" s="206" t="e">
        <v>#REF!</v>
      </c>
      <c r="AN117" s="53"/>
      <c r="AO117" s="203" t="e">
        <v>#REF!</v>
      </c>
      <c r="AP117" s="204"/>
      <c r="AQ117" s="205" t="e">
        <v>#REF!</v>
      </c>
      <c r="AR117" s="207"/>
      <c r="AS117" s="206" t="e">
        <v>#REF!</v>
      </c>
      <c r="AT117" s="53"/>
      <c r="AU117" s="203" t="e">
        <v>#REF!</v>
      </c>
      <c r="AV117" s="204"/>
      <c r="AW117" s="205" t="e">
        <v>#REF!</v>
      </c>
      <c r="AX117" s="207"/>
      <c r="AY117" s="206" t="e">
        <v>#REF!</v>
      </c>
      <c r="BA117" s="203" t="e">
        <v>#REF!</v>
      </c>
      <c r="BB117" s="204"/>
      <c r="BC117" s="205" t="e">
        <v>#REF!</v>
      </c>
      <c r="BD117" s="51"/>
      <c r="BE117" s="206" t="e">
        <v>#REF!</v>
      </c>
      <c r="BG117" s="203" t="e">
        <v>#REF!</v>
      </c>
      <c r="BH117" s="204"/>
      <c r="BI117" s="205" t="e">
        <v>#REF!</v>
      </c>
      <c r="BJ117" s="207"/>
      <c r="BK117" s="206" t="e">
        <v>#REF!</v>
      </c>
      <c r="BL117" s="53"/>
      <c r="BN117" s="203" t="e">
        <v>#REF!</v>
      </c>
      <c r="BO117" s="204"/>
      <c r="BP117" s="205" t="e">
        <v>#REF!</v>
      </c>
      <c r="BQ117" s="207"/>
      <c r="BR117" s="206" t="e">
        <v>#REF!</v>
      </c>
      <c r="BS117" s="53"/>
    </row>
    <row r="118" spans="1:71" s="157" customFormat="1" outlineLevel="4">
      <c r="D118" s="153"/>
      <c r="E118" s="154">
        <v>0</v>
      </c>
      <c r="F118" s="208"/>
      <c r="G118" s="154">
        <v>0</v>
      </c>
      <c r="H118" s="208"/>
      <c r="I118" s="154">
        <v>0</v>
      </c>
      <c r="J118" s="209"/>
      <c r="K118" s="154">
        <v>0</v>
      </c>
      <c r="L118" s="154"/>
      <c r="M118" s="154">
        <v>0</v>
      </c>
      <c r="N118" s="154"/>
      <c r="O118" s="154">
        <v>5.4569682106375694E-12</v>
      </c>
      <c r="P118" s="154"/>
      <c r="Q118" s="154">
        <v>0</v>
      </c>
      <c r="R118" s="154"/>
      <c r="S118" s="154">
        <v>0</v>
      </c>
      <c r="T118" s="154"/>
      <c r="U118" s="154">
        <v>6.0481397667899728E-11</v>
      </c>
      <c r="V118" s="25"/>
      <c r="W118" s="154" t="e">
        <v>#REF!</v>
      </c>
      <c r="X118" s="154"/>
      <c r="Y118" s="154" t="e">
        <v>#REF!</v>
      </c>
      <c r="Z118" s="154"/>
      <c r="AA118" s="154" t="e">
        <v>#REF!</v>
      </c>
      <c r="AB118" s="154"/>
      <c r="AC118" s="154" t="e">
        <v>#REF!</v>
      </c>
      <c r="AD118" s="154"/>
      <c r="AE118" s="154" t="e">
        <v>#REF!</v>
      </c>
      <c r="AF118" s="154"/>
      <c r="AG118" s="154" t="e">
        <v>#REF!</v>
      </c>
      <c r="AH118" s="154"/>
      <c r="AI118" s="154" t="e">
        <v>#REF!</v>
      </c>
      <c r="AJ118" s="154"/>
      <c r="AK118" s="154" t="e">
        <v>#REF!</v>
      </c>
      <c r="AL118" s="154"/>
      <c r="AM118" s="154" t="e">
        <v>#REF!</v>
      </c>
      <c r="AN118" s="154"/>
      <c r="AO118" s="154" t="e">
        <v>#REF!</v>
      </c>
      <c r="AP118" s="154"/>
      <c r="AQ118" s="154" t="e">
        <v>#REF!</v>
      </c>
      <c r="AR118" s="154"/>
      <c r="AS118" s="154" t="e">
        <v>#REF!</v>
      </c>
      <c r="AT118" s="154"/>
      <c r="AU118" s="154" t="e">
        <v>#REF!</v>
      </c>
      <c r="AV118" s="154"/>
      <c r="AW118" s="154" t="e">
        <v>#REF!</v>
      </c>
      <c r="AX118" s="154"/>
      <c r="AY118" s="154" t="e">
        <v>#REF!</v>
      </c>
      <c r="BA118" s="154" t="e">
        <v>#REF!</v>
      </c>
      <c r="BB118" s="154"/>
      <c r="BC118" s="154" t="e">
        <v>#REF!</v>
      </c>
      <c r="BD118" s="51"/>
      <c r="BE118" s="154" t="e">
        <v>#REF!</v>
      </c>
      <c r="BG118" s="154" t="e">
        <v>#REF!</v>
      </c>
      <c r="BH118" s="154"/>
      <c r="BI118" s="154" t="e">
        <v>#REF!</v>
      </c>
      <c r="BJ118" s="154"/>
      <c r="BK118" s="154" t="e">
        <v>#REF!</v>
      </c>
      <c r="BL118" s="154"/>
      <c r="BN118" s="154" t="e">
        <v>#REF!</v>
      </c>
      <c r="BO118" s="154"/>
      <c r="BP118" s="154" t="e">
        <v>#REF!</v>
      </c>
      <c r="BQ118" s="154"/>
      <c r="BR118" s="154" t="e">
        <v>#REF!</v>
      </c>
      <c r="BS118" s="154"/>
    </row>
    <row r="119" spans="1:71" ht="13.65" customHeight="1" outlineLevel="4">
      <c r="D119" s="210"/>
      <c r="E119" s="211"/>
      <c r="F119" s="211">
        <v>0</v>
      </c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211"/>
      <c r="V119" s="25"/>
      <c r="W119" s="195" t="e">
        <v>#REF!</v>
      </c>
      <c r="X119" s="51"/>
      <c r="Y119" s="193" t="e">
        <v>#REF!</v>
      </c>
      <c r="Z119" s="212"/>
      <c r="AA119" s="30"/>
      <c r="AB119" s="212"/>
      <c r="AC119" s="195" t="e">
        <v>#REF!</v>
      </c>
      <c r="AD119" s="51"/>
      <c r="AE119" s="193" t="e">
        <v>#REF!</v>
      </c>
      <c r="AF119" s="212"/>
      <c r="AG119" s="30"/>
      <c r="AH119" s="212"/>
      <c r="AI119" s="195" t="e">
        <v>#REF!</v>
      </c>
      <c r="AJ119" s="51"/>
      <c r="AK119" s="193" t="e">
        <v>#REF!</v>
      </c>
      <c r="AL119" s="212"/>
      <c r="AM119" s="30"/>
      <c r="AN119" s="212"/>
      <c r="AO119" s="195" t="e">
        <v>#REF!</v>
      </c>
      <c r="AP119" s="51"/>
      <c r="AQ119" s="193" t="e">
        <v>#REF!</v>
      </c>
      <c r="AR119" s="212"/>
      <c r="AS119" s="30"/>
      <c r="AT119" s="212"/>
      <c r="AU119" s="213"/>
      <c r="AV119" s="51"/>
      <c r="AW119" s="213"/>
      <c r="AX119" s="212"/>
      <c r="AY119" s="30"/>
      <c r="BA119" s="212"/>
      <c r="BB119" s="212"/>
      <c r="BC119" s="212"/>
      <c r="BD119" s="51"/>
      <c r="BE119" s="30"/>
      <c r="BG119" s="195" t="e">
        <v>#REF!</v>
      </c>
      <c r="BH119" s="51"/>
      <c r="BI119" s="193" t="e">
        <v>#REF!</v>
      </c>
      <c r="BJ119" s="212"/>
      <c r="BK119" s="30"/>
      <c r="BL119" s="212"/>
      <c r="BN119" s="195" t="e">
        <v>#REF!</v>
      </c>
      <c r="BO119" s="51"/>
      <c r="BP119" s="193" t="e">
        <v>#REF!</v>
      </c>
      <c r="BQ119" s="212"/>
      <c r="BR119" s="30"/>
      <c r="BS119" s="212"/>
    </row>
    <row r="120" spans="1:71" ht="14.4" outlineLevel="2" thickBot="1">
      <c r="E120" s="214"/>
      <c r="G120" s="214"/>
      <c r="I120" s="214"/>
      <c r="K120" s="214"/>
      <c r="M120" s="214"/>
      <c r="O120" s="214"/>
      <c r="P120" s="212"/>
      <c r="Q120" s="214"/>
      <c r="S120" s="214"/>
      <c r="U120" s="214"/>
      <c r="V120" s="25"/>
      <c r="W120" s="195" t="e">
        <v>#REF!</v>
      </c>
      <c r="X120" s="51"/>
      <c r="Y120" s="193" t="e">
        <v>#REF!</v>
      </c>
      <c r="Z120" s="214"/>
      <c r="AA120" s="193" t="e">
        <v>#REF!</v>
      </c>
      <c r="AB120" s="212"/>
      <c r="AC120" s="195" t="e">
        <v>#REF!</v>
      </c>
      <c r="AD120" s="51"/>
      <c r="AE120" s="193" t="e">
        <v>#REF!</v>
      </c>
      <c r="AF120" s="214"/>
      <c r="AG120" s="193" t="e">
        <v>#REF!</v>
      </c>
      <c r="AH120" s="212"/>
      <c r="AI120" s="195" t="e">
        <v>#REF!</v>
      </c>
      <c r="AJ120" s="51"/>
      <c r="AK120" s="193" t="e">
        <v>#REF!</v>
      </c>
      <c r="AL120" s="214"/>
      <c r="AM120" s="193" t="e">
        <v>#REF!</v>
      </c>
      <c r="AN120" s="212"/>
      <c r="AO120" s="195" t="e">
        <v>#REF!</v>
      </c>
      <c r="AP120" s="51"/>
      <c r="AQ120" s="193" t="e">
        <v>#REF!</v>
      </c>
      <c r="AR120" s="214"/>
      <c r="AS120" s="193" t="e">
        <v>#REF!</v>
      </c>
      <c r="AT120" s="212"/>
      <c r="AU120" s="213"/>
      <c r="AV120" s="51"/>
      <c r="AW120" s="213"/>
      <c r="AX120" s="214"/>
      <c r="AY120" s="213"/>
      <c r="BA120" s="214"/>
      <c r="BC120" s="214"/>
      <c r="BD120" s="51"/>
      <c r="BE120" s="214"/>
      <c r="BG120" s="195" t="e">
        <v>#REF!</v>
      </c>
      <c r="BH120" s="51"/>
      <c r="BI120" s="193" t="e">
        <v>#REF!</v>
      </c>
      <c r="BJ120" s="214"/>
      <c r="BK120" s="193" t="e">
        <v>#REF!</v>
      </c>
      <c r="BL120" s="212"/>
      <c r="BN120" s="195" t="e">
        <v>#REF!</v>
      </c>
      <c r="BO120" s="51"/>
      <c r="BP120" s="193" t="e">
        <v>#REF!</v>
      </c>
      <c r="BQ120" s="214"/>
      <c r="BR120" s="193" t="e">
        <v>#REF!</v>
      </c>
      <c r="BS120" s="212"/>
    </row>
    <row r="121" spans="1:71" s="215" customFormat="1" ht="16.2" outlineLevel="1" thickBot="1">
      <c r="D121" s="216" t="s">
        <v>374</v>
      </c>
      <c r="E121" s="217">
        <v>92851.316447177378</v>
      </c>
      <c r="F121" s="218"/>
      <c r="G121" s="217">
        <v>92887.04637591909</v>
      </c>
      <c r="H121" s="218"/>
      <c r="I121" s="219">
        <v>-35.729928741711774</v>
      </c>
      <c r="J121" s="220"/>
      <c r="K121" s="217">
        <v>-176532.57653448888</v>
      </c>
      <c r="L121" s="218"/>
      <c r="M121" s="217">
        <v>-178213.93144131594</v>
      </c>
      <c r="N121" s="218"/>
      <c r="O121" s="219">
        <v>1681.3549068270659</v>
      </c>
      <c r="P121" s="221"/>
      <c r="Q121" s="217">
        <v>-84377.523565839801</v>
      </c>
      <c r="R121" s="218"/>
      <c r="S121" s="217">
        <v>-85527.638355056712</v>
      </c>
      <c r="T121" s="218"/>
      <c r="U121" s="219">
        <v>1150.1147892169101</v>
      </c>
      <c r="V121" s="35"/>
      <c r="W121" s="217"/>
      <c r="X121" s="217"/>
      <c r="Y121" s="217"/>
      <c r="Z121" s="222"/>
      <c r="AA121" s="219"/>
      <c r="AB121" s="221"/>
      <c r="AC121" s="217"/>
      <c r="AD121" s="217"/>
      <c r="AE121" s="217"/>
      <c r="AF121" s="222"/>
      <c r="AG121" s="219"/>
      <c r="AH121" s="221"/>
      <c r="AI121" s="217"/>
      <c r="AJ121" s="217"/>
      <c r="AK121" s="217"/>
      <c r="AL121" s="222"/>
      <c r="AM121" s="219"/>
      <c r="AN121" s="221"/>
      <c r="AO121" s="217"/>
      <c r="AP121" s="217"/>
      <c r="AQ121" s="217"/>
      <c r="AR121" s="222"/>
      <c r="AS121" s="219"/>
      <c r="AT121" s="221"/>
      <c r="AU121" s="217"/>
      <c r="AV121" s="217"/>
      <c r="AW121" s="217"/>
      <c r="AX121" s="222"/>
      <c r="AY121" s="219"/>
      <c r="BA121" s="217"/>
      <c r="BB121" s="222"/>
      <c r="BC121" s="223"/>
      <c r="BD121" s="51"/>
      <c r="BE121" s="219">
        <v>4396.0816035306489</v>
      </c>
      <c r="BG121" s="217"/>
      <c r="BH121" s="217"/>
      <c r="BI121" s="217"/>
      <c r="BJ121" s="222"/>
      <c r="BK121" s="219"/>
      <c r="BL121" s="221"/>
      <c r="BN121" s="217"/>
      <c r="BO121" s="217"/>
      <c r="BP121" s="217"/>
      <c r="BQ121" s="222"/>
      <c r="BR121" s="219"/>
      <c r="BS121" s="221"/>
    </row>
    <row r="122" spans="1:71" s="17" customFormat="1" outlineLevel="1">
      <c r="D122" s="224" t="s">
        <v>375</v>
      </c>
      <c r="E122" s="225">
        <v>93169.010447177381</v>
      </c>
      <c r="F122" s="226" t="e">
        <v>#REF!</v>
      </c>
      <c r="G122" s="227">
        <v>92209.240375919093</v>
      </c>
      <c r="H122" s="226" t="e">
        <v>#REF!</v>
      </c>
      <c r="I122" s="228">
        <v>959.77007125828789</v>
      </c>
      <c r="J122" s="16"/>
      <c r="K122" s="225">
        <v>-141770.05653448889</v>
      </c>
      <c r="L122" s="226" t="e">
        <v>#REF!</v>
      </c>
      <c r="M122" s="227">
        <v>-145070.06444131595</v>
      </c>
      <c r="N122" s="229"/>
      <c r="O122" s="228">
        <v>3300.0079068270879</v>
      </c>
      <c r="P122" s="19"/>
      <c r="Q122" s="230">
        <v>-49297.309565839794</v>
      </c>
      <c r="R122" s="226" t="e">
        <v>#REF!</v>
      </c>
      <c r="S122" s="231">
        <v>-53061.57735505671</v>
      </c>
      <c r="T122" s="229"/>
      <c r="U122" s="232">
        <v>3764.2677892168881</v>
      </c>
      <c r="W122" s="230" t="e">
        <v>#REF!</v>
      </c>
      <c r="X122" s="226" t="e">
        <v>#REF!</v>
      </c>
      <c r="Y122" s="231" t="e">
        <v>#REF!</v>
      </c>
      <c r="Z122" s="229"/>
      <c r="AA122" s="232" t="e">
        <v>#REF!</v>
      </c>
      <c r="AB122" s="19"/>
      <c r="AC122" s="230" t="e">
        <v>#REF!</v>
      </c>
      <c r="AD122" s="226" t="e">
        <v>#REF!</v>
      </c>
      <c r="AE122" s="231" t="e">
        <v>#REF!</v>
      </c>
      <c r="AF122" s="229"/>
      <c r="AG122" s="232" t="e">
        <v>#REF!</v>
      </c>
      <c r="AH122" s="19"/>
      <c r="AI122" s="230" t="e">
        <v>#REF!</v>
      </c>
      <c r="AJ122" s="226" t="e">
        <v>#REF!</v>
      </c>
      <c r="AK122" s="231" t="e">
        <v>#REF!</v>
      </c>
      <c r="AL122" s="229"/>
      <c r="AM122" s="232" t="e">
        <v>#REF!</v>
      </c>
      <c r="AN122" s="19"/>
      <c r="AO122" s="230" t="e">
        <v>#REF!</v>
      </c>
      <c r="AP122" s="226" t="e">
        <v>#REF!</v>
      </c>
      <c r="AQ122" s="231" t="e">
        <v>#REF!</v>
      </c>
      <c r="AR122" s="229"/>
      <c r="AS122" s="232" t="e">
        <v>#REF!</v>
      </c>
      <c r="AT122" s="19"/>
      <c r="AU122" s="233"/>
      <c r="AV122" s="234"/>
      <c r="AW122" s="233"/>
      <c r="AX122" s="16"/>
      <c r="AY122" s="235"/>
      <c r="BA122" s="230">
        <v>-49297.309565839794</v>
      </c>
      <c r="BB122" s="226"/>
      <c r="BC122" s="231">
        <v>-53061.57735505671</v>
      </c>
      <c r="BD122" s="51"/>
      <c r="BE122" s="232">
        <v>3764.2677892169158</v>
      </c>
      <c r="BG122" s="230" t="e">
        <v>#VALUE!</v>
      </c>
      <c r="BH122" s="226" t="e">
        <v>#REF!</v>
      </c>
      <c r="BI122" s="231" t="e">
        <v>#VALUE!</v>
      </c>
      <c r="BJ122" s="229"/>
      <c r="BK122" s="232" t="e">
        <v>#VALUE!</v>
      </c>
      <c r="BL122" s="19"/>
      <c r="BN122" s="230" t="e">
        <v>#REF!</v>
      </c>
      <c r="BO122" s="226" t="e">
        <v>#REF!</v>
      </c>
      <c r="BP122" s="231" t="e">
        <v>#REF!</v>
      </c>
      <c r="BQ122" s="229"/>
      <c r="BR122" s="232" t="e">
        <v>#REF!</v>
      </c>
      <c r="BS122" s="19"/>
    </row>
    <row r="123" spans="1:71" s="17" customFormat="1" outlineLevel="1">
      <c r="D123" s="236" t="s">
        <v>376</v>
      </c>
      <c r="E123" s="67">
        <v>66630.319113655583</v>
      </c>
      <c r="F123" s="51" t="e">
        <v>#REF!</v>
      </c>
      <c r="G123" s="69">
        <v>64196.068072215698</v>
      </c>
      <c r="H123" s="51" t="e">
        <v>#REF!</v>
      </c>
      <c r="I123" s="70">
        <v>2434.2510414398853</v>
      </c>
      <c r="J123" s="16"/>
      <c r="K123" s="67">
        <v>-105396.67197192069</v>
      </c>
      <c r="L123" s="51" t="e">
        <v>#REF!</v>
      </c>
      <c r="M123" s="69">
        <v>-107601.40155378105</v>
      </c>
      <c r="N123" s="16"/>
      <c r="O123" s="70">
        <v>2204.7295818603907</v>
      </c>
      <c r="P123" s="19"/>
      <c r="Q123" s="195">
        <v>-39275.69867773469</v>
      </c>
      <c r="R123" s="51" t="e">
        <v>#REF!</v>
      </c>
      <c r="S123" s="193">
        <v>-43674.745984278888</v>
      </c>
      <c r="T123" s="16"/>
      <c r="U123" s="94">
        <v>4399.0473065441693</v>
      </c>
      <c r="W123" s="195" t="e">
        <v>#REF!</v>
      </c>
      <c r="X123" s="51" t="e">
        <v>#REF!</v>
      </c>
      <c r="Y123" s="193" t="e">
        <v>#REF!</v>
      </c>
      <c r="Z123" s="16"/>
      <c r="AA123" s="94" t="e">
        <v>#REF!</v>
      </c>
      <c r="AB123" s="19"/>
      <c r="AC123" s="195" t="e">
        <v>#REF!</v>
      </c>
      <c r="AD123" s="51" t="e">
        <v>#REF!</v>
      </c>
      <c r="AE123" s="193" t="e">
        <v>#REF!</v>
      </c>
      <c r="AF123" s="16"/>
      <c r="AG123" s="94" t="e">
        <v>#REF!</v>
      </c>
      <c r="AH123" s="19"/>
      <c r="AI123" s="195" t="e">
        <v>#REF!</v>
      </c>
      <c r="AJ123" s="51" t="e">
        <v>#REF!</v>
      </c>
      <c r="AK123" s="193" t="e">
        <v>#REF!</v>
      </c>
      <c r="AL123" s="16"/>
      <c r="AM123" s="94" t="e">
        <v>#REF!</v>
      </c>
      <c r="AN123" s="19"/>
      <c r="AO123" s="195" t="e">
        <v>#REF!</v>
      </c>
      <c r="AP123" s="51" t="e">
        <v>#REF!</v>
      </c>
      <c r="AQ123" s="193" t="e">
        <v>#REF!</v>
      </c>
      <c r="AR123" s="16"/>
      <c r="AS123" s="94" t="e">
        <v>#REF!</v>
      </c>
      <c r="AT123" s="19"/>
      <c r="AU123" s="213"/>
      <c r="AV123" s="51"/>
      <c r="AW123" s="213"/>
      <c r="AX123" s="16"/>
      <c r="AY123" s="237"/>
      <c r="BA123" s="195">
        <v>-39275.69867773469</v>
      </c>
      <c r="BB123" s="51"/>
      <c r="BC123" s="193">
        <v>-43674.745984278888</v>
      </c>
      <c r="BD123" s="51"/>
      <c r="BE123" s="94">
        <v>4399.0473065441984</v>
      </c>
      <c r="BG123" s="195" t="e">
        <v>#VALUE!</v>
      </c>
      <c r="BH123" s="51" t="e">
        <v>#REF!</v>
      </c>
      <c r="BI123" s="193" t="e">
        <v>#VALUE!</v>
      </c>
      <c r="BJ123" s="16"/>
      <c r="BK123" s="94" t="e">
        <v>#VALUE!</v>
      </c>
      <c r="BL123" s="19"/>
      <c r="BN123" s="195" t="e">
        <v>#REF!</v>
      </c>
      <c r="BO123" s="51" t="e">
        <v>#REF!</v>
      </c>
      <c r="BP123" s="193" t="e">
        <v>#REF!</v>
      </c>
      <c r="BQ123" s="16"/>
      <c r="BR123" s="94" t="e">
        <v>#REF!</v>
      </c>
      <c r="BS123" s="19"/>
    </row>
    <row r="124" spans="1:71" s="17" customFormat="1" outlineLevel="1">
      <c r="A124" s="17" t="s">
        <v>377</v>
      </c>
      <c r="B124" s="17" t="s">
        <v>378</v>
      </c>
      <c r="D124" s="236" t="s">
        <v>379</v>
      </c>
      <c r="E124" s="67">
        <v>26538.691333521801</v>
      </c>
      <c r="F124" s="51"/>
      <c r="G124" s="69">
        <v>28013.172303703399</v>
      </c>
      <c r="H124" s="51"/>
      <c r="I124" s="70">
        <v>-1474.4809701815975</v>
      </c>
      <c r="J124" s="16"/>
      <c r="K124" s="67">
        <v>-36373.384562568201</v>
      </c>
      <c r="L124" s="51"/>
      <c r="M124" s="69">
        <v>-37468.662887534898</v>
      </c>
      <c r="N124" s="16"/>
      <c r="O124" s="70">
        <v>1095.2783249666973</v>
      </c>
      <c r="P124" s="19"/>
      <c r="Q124" s="195">
        <v>-10021.6108881051</v>
      </c>
      <c r="R124" s="51"/>
      <c r="S124" s="193">
        <v>-9386.8313707778198</v>
      </c>
      <c r="T124" s="16"/>
      <c r="U124" s="94">
        <v>-634.7795173272807</v>
      </c>
      <c r="W124" s="195">
        <v>-144.995614786716</v>
      </c>
      <c r="X124" s="51"/>
      <c r="Y124" s="193">
        <v>-142.10962304026299</v>
      </c>
      <c r="Z124" s="16"/>
      <c r="AA124" s="94">
        <v>-2.8859917464530156</v>
      </c>
      <c r="AB124" s="19"/>
      <c r="AC124" s="195">
        <v>0</v>
      </c>
      <c r="AD124" s="51"/>
      <c r="AE124" s="193">
        <v>0</v>
      </c>
      <c r="AF124" s="16"/>
      <c r="AG124" s="94">
        <v>0</v>
      </c>
      <c r="AH124" s="19"/>
      <c r="AI124" s="195">
        <v>205.81545924173199</v>
      </c>
      <c r="AJ124" s="51"/>
      <c r="AK124" s="193">
        <v>210.52893022919599</v>
      </c>
      <c r="AL124" s="16"/>
      <c r="AM124" s="94">
        <v>-4.7134709874640066</v>
      </c>
      <c r="AN124" s="19"/>
      <c r="AO124" s="195">
        <v>-1878.0329549856799</v>
      </c>
      <c r="AP124" s="51"/>
      <c r="AQ124" s="193">
        <v>-2133.6823920605002</v>
      </c>
      <c r="AR124" s="16"/>
      <c r="AS124" s="94">
        <v>255.6494370748203</v>
      </c>
      <c r="AT124" s="19"/>
      <c r="AU124" s="213"/>
      <c r="AV124" s="51"/>
      <c r="AW124" s="213"/>
      <c r="AX124" s="16"/>
      <c r="AY124" s="237"/>
      <c r="BA124" s="195">
        <v>-10021.6108881051</v>
      </c>
      <c r="BB124" s="51"/>
      <c r="BC124" s="193">
        <v>-9386.8313707778198</v>
      </c>
      <c r="BD124" s="51"/>
      <c r="BE124" s="94">
        <v>-634.7795173272807</v>
      </c>
      <c r="BG124" s="195">
        <v>-1318.19325439815</v>
      </c>
      <c r="BH124" s="51"/>
      <c r="BI124" s="193">
        <v>-1573.0235395991999</v>
      </c>
      <c r="BJ124" s="16"/>
      <c r="BK124" s="94">
        <v>254.83028520104995</v>
      </c>
      <c r="BL124" s="19"/>
      <c r="BN124" s="195">
        <v>-559.839700587533</v>
      </c>
      <c r="BO124" s="51"/>
      <c r="BP124" s="193">
        <v>-560.65885246129903</v>
      </c>
      <c r="BQ124" s="16"/>
      <c r="BR124" s="94">
        <v>0.81915187376603171</v>
      </c>
      <c r="BS124" s="19"/>
    </row>
    <row r="125" spans="1:71" s="17" customFormat="1" outlineLevel="1">
      <c r="D125" s="238" t="s">
        <v>380</v>
      </c>
      <c r="E125" s="87">
        <v>-317.69399999999996</v>
      </c>
      <c r="F125" s="234" t="e">
        <v>#REF!</v>
      </c>
      <c r="G125" s="88">
        <v>677.80600000000004</v>
      </c>
      <c r="H125" s="234" t="e">
        <v>#REF!</v>
      </c>
      <c r="I125" s="52">
        <v>-995.5</v>
      </c>
      <c r="J125" s="16"/>
      <c r="K125" s="87">
        <v>-34762.519999999997</v>
      </c>
      <c r="L125" s="234" t="e">
        <v>#REF!</v>
      </c>
      <c r="M125" s="88">
        <v>-33143.866999999998</v>
      </c>
      <c r="N125" s="16"/>
      <c r="O125" s="52">
        <v>-1618.6529999999984</v>
      </c>
      <c r="P125" s="19"/>
      <c r="Q125" s="143">
        <v>-35080.214000000007</v>
      </c>
      <c r="R125" s="234" t="e">
        <v>#REF!</v>
      </c>
      <c r="S125" s="144">
        <v>-32466.061000000002</v>
      </c>
      <c r="T125" s="16"/>
      <c r="U125" s="99">
        <v>-2614.1530000000093</v>
      </c>
      <c r="W125" s="143" t="e">
        <v>#REF!</v>
      </c>
      <c r="X125" s="234" t="e">
        <v>#REF!</v>
      </c>
      <c r="Y125" s="144" t="e">
        <v>#REF!</v>
      </c>
      <c r="Z125" s="16"/>
      <c r="AA125" s="99" t="e">
        <v>#REF!</v>
      </c>
      <c r="AB125" s="19"/>
      <c r="AC125" s="143" t="e">
        <v>#REF!</v>
      </c>
      <c r="AD125" s="234" t="e">
        <v>#REF!</v>
      </c>
      <c r="AE125" s="144" t="e">
        <v>#REF!</v>
      </c>
      <c r="AF125" s="16"/>
      <c r="AG125" s="99" t="e">
        <v>#REF!</v>
      </c>
      <c r="AH125" s="19"/>
      <c r="AI125" s="143" t="e">
        <v>#REF!</v>
      </c>
      <c r="AJ125" s="234" t="e">
        <v>#REF!</v>
      </c>
      <c r="AK125" s="144" t="e">
        <v>#REF!</v>
      </c>
      <c r="AL125" s="16"/>
      <c r="AM125" s="99" t="e">
        <v>#REF!</v>
      </c>
      <c r="AN125" s="19"/>
      <c r="AO125" s="143" t="e">
        <v>#REF!</v>
      </c>
      <c r="AP125" s="234" t="e">
        <v>#REF!</v>
      </c>
      <c r="AQ125" s="144" t="e">
        <v>#REF!</v>
      </c>
      <c r="AR125" s="16"/>
      <c r="AS125" s="99" t="e">
        <v>#REF!</v>
      </c>
      <c r="AT125" s="19"/>
      <c r="AU125" s="233"/>
      <c r="AV125" s="234"/>
      <c r="AW125" s="233"/>
      <c r="AX125" s="16"/>
      <c r="AY125" s="235"/>
      <c r="BA125" s="143">
        <v>-35080.214000000007</v>
      </c>
      <c r="BB125" s="234"/>
      <c r="BC125" s="144">
        <v>-32466.061000000002</v>
      </c>
      <c r="BD125" s="51"/>
      <c r="BE125" s="99">
        <v>-2614.1530000000057</v>
      </c>
      <c r="BG125" s="143" t="e">
        <v>#REF!</v>
      </c>
      <c r="BH125" s="234" t="e">
        <v>#REF!</v>
      </c>
      <c r="BI125" s="144" t="e">
        <v>#REF!</v>
      </c>
      <c r="BJ125" s="16"/>
      <c r="BK125" s="99" t="e">
        <v>#REF!</v>
      </c>
      <c r="BL125" s="19"/>
      <c r="BN125" s="143" t="e">
        <v>#REF!</v>
      </c>
      <c r="BO125" s="234" t="e">
        <v>#REF!</v>
      </c>
      <c r="BP125" s="144" t="e">
        <v>#REF!</v>
      </c>
      <c r="BQ125" s="16"/>
      <c r="BR125" s="99" t="e">
        <v>#REF!</v>
      </c>
      <c r="BS125" s="19"/>
    </row>
    <row r="126" spans="1:71" s="17" customFormat="1" outlineLevel="1">
      <c r="D126" s="236" t="s">
        <v>415</v>
      </c>
      <c r="E126" s="67">
        <v>-2047.644</v>
      </c>
      <c r="F126" s="51">
        <v>0</v>
      </c>
      <c r="G126" s="69">
        <v>-1442.5</v>
      </c>
      <c r="H126" s="51">
        <v>0</v>
      </c>
      <c r="I126" s="70">
        <v>-605.14400000000001</v>
      </c>
      <c r="J126" s="16"/>
      <c r="K126" s="67">
        <v>-11678.936</v>
      </c>
      <c r="L126" s="51">
        <v>0</v>
      </c>
      <c r="M126" s="69">
        <v>-11655.902</v>
      </c>
      <c r="N126" s="16"/>
      <c r="O126" s="70">
        <v>-23.033999999999651</v>
      </c>
      <c r="P126" s="19"/>
      <c r="Q126" s="195">
        <v>-13726.58</v>
      </c>
      <c r="R126" s="51">
        <v>0</v>
      </c>
      <c r="S126" s="193">
        <v>-13098.402</v>
      </c>
      <c r="T126" s="16"/>
      <c r="U126" s="94">
        <v>-628.17799999999988</v>
      </c>
      <c r="W126" s="195">
        <v>0</v>
      </c>
      <c r="X126" s="51">
        <v>0</v>
      </c>
      <c r="Y126" s="193">
        <v>0</v>
      </c>
      <c r="Z126" s="16"/>
      <c r="AA126" s="94">
        <v>0</v>
      </c>
      <c r="AB126" s="19"/>
      <c r="AC126" s="195">
        <v>0</v>
      </c>
      <c r="AD126" s="51">
        <v>0</v>
      </c>
      <c r="AE126" s="193">
        <v>0</v>
      </c>
      <c r="AF126" s="16"/>
      <c r="AG126" s="94">
        <v>0</v>
      </c>
      <c r="AH126" s="19"/>
      <c r="AI126" s="195">
        <v>0</v>
      </c>
      <c r="AJ126" s="51">
        <v>0</v>
      </c>
      <c r="AK126" s="193">
        <v>0</v>
      </c>
      <c r="AL126" s="16"/>
      <c r="AM126" s="94">
        <v>0</v>
      </c>
      <c r="AN126" s="19"/>
      <c r="AO126" s="195">
        <v>0</v>
      </c>
      <c r="AP126" s="51">
        <v>0</v>
      </c>
      <c r="AQ126" s="193">
        <v>0</v>
      </c>
      <c r="AR126" s="16"/>
      <c r="AS126" s="94">
        <v>0</v>
      </c>
      <c r="AT126" s="19"/>
      <c r="AU126" s="213"/>
      <c r="AV126" s="51"/>
      <c r="AW126" s="213"/>
      <c r="AX126" s="16"/>
      <c r="AY126" s="237"/>
      <c r="BA126" s="195">
        <v>-13726.58</v>
      </c>
      <c r="BB126" s="51"/>
      <c r="BC126" s="193">
        <v>-13098.402</v>
      </c>
      <c r="BD126" s="51"/>
      <c r="BE126" s="94">
        <v>-628.17799999999988</v>
      </c>
      <c r="BG126" s="195">
        <v>0</v>
      </c>
      <c r="BH126" s="51">
        <v>0</v>
      </c>
      <c r="BI126" s="193">
        <v>0</v>
      </c>
      <c r="BJ126" s="16"/>
      <c r="BK126" s="94">
        <v>0</v>
      </c>
      <c r="BL126" s="19"/>
      <c r="BN126" s="195">
        <v>0</v>
      </c>
      <c r="BO126" s="51">
        <v>0</v>
      </c>
      <c r="BP126" s="193">
        <v>0</v>
      </c>
      <c r="BQ126" s="16"/>
      <c r="BR126" s="94">
        <v>0</v>
      </c>
      <c r="BS126" s="19"/>
    </row>
    <row r="127" spans="1:71" s="17" customFormat="1" outlineLevel="1">
      <c r="D127" s="236" t="s">
        <v>86</v>
      </c>
      <c r="E127" s="67">
        <v>1729.95</v>
      </c>
      <c r="F127" s="51">
        <v>0</v>
      </c>
      <c r="G127" s="69">
        <v>2120.306</v>
      </c>
      <c r="H127" s="51" t="e">
        <v>#REF!</v>
      </c>
      <c r="I127" s="70">
        <v>-390.35599999999999</v>
      </c>
      <c r="J127" s="16"/>
      <c r="K127" s="67">
        <v>-4048.5839999999994</v>
      </c>
      <c r="L127" s="51">
        <v>0</v>
      </c>
      <c r="M127" s="69">
        <v>-6416.9650000000011</v>
      </c>
      <c r="N127" s="16"/>
      <c r="O127" s="70">
        <v>2368.3810000000012</v>
      </c>
      <c r="P127" s="19"/>
      <c r="Q127" s="195">
        <v>-2318.6340000000096</v>
      </c>
      <c r="R127" s="51">
        <v>0</v>
      </c>
      <c r="S127" s="193">
        <v>-4296.6590000000006</v>
      </c>
      <c r="T127" s="16"/>
      <c r="U127" s="94">
        <v>1978.0249999999905</v>
      </c>
      <c r="W127" s="195">
        <v>0</v>
      </c>
      <c r="X127" s="51">
        <v>0</v>
      </c>
      <c r="Y127" s="193">
        <v>0</v>
      </c>
      <c r="Z127" s="16"/>
      <c r="AA127" s="94">
        <v>0</v>
      </c>
      <c r="AB127" s="19"/>
      <c r="AC127" s="195">
        <v>0</v>
      </c>
      <c r="AD127" s="51">
        <v>0</v>
      </c>
      <c r="AE127" s="193">
        <v>0</v>
      </c>
      <c r="AF127" s="16"/>
      <c r="AG127" s="94">
        <v>0</v>
      </c>
      <c r="AH127" s="19"/>
      <c r="AI127" s="195">
        <v>0</v>
      </c>
      <c r="AJ127" s="51">
        <v>0</v>
      </c>
      <c r="AK127" s="193">
        <v>0</v>
      </c>
      <c r="AL127" s="16"/>
      <c r="AM127" s="94">
        <v>0</v>
      </c>
      <c r="AN127" s="19"/>
      <c r="AO127" s="195">
        <v>15234.97</v>
      </c>
      <c r="AP127" s="51">
        <v>0</v>
      </c>
      <c r="AQ127" s="193">
        <v>16287.64</v>
      </c>
      <c r="AR127" s="16"/>
      <c r="AS127" s="94">
        <v>-1052.67</v>
      </c>
      <c r="AT127" s="19"/>
      <c r="AU127" s="213"/>
      <c r="AV127" s="51"/>
      <c r="AW127" s="213"/>
      <c r="AX127" s="16"/>
      <c r="AY127" s="237"/>
      <c r="BA127" s="195">
        <v>-2318.6340000000096</v>
      </c>
      <c r="BB127" s="51"/>
      <c r="BC127" s="193">
        <v>-4296.6590000000006</v>
      </c>
      <c r="BD127" s="51"/>
      <c r="BE127" s="94">
        <v>1978.024999999991</v>
      </c>
      <c r="BG127" s="195" t="e">
        <v>#VALUE!</v>
      </c>
      <c r="BH127" s="51">
        <v>0</v>
      </c>
      <c r="BI127" s="193" t="e">
        <v>#VALUE!</v>
      </c>
      <c r="BJ127" s="16"/>
      <c r="BK127" s="94" t="e">
        <v>#VALUE!</v>
      </c>
      <c r="BL127" s="19"/>
      <c r="BN127" s="195">
        <v>-1190.95</v>
      </c>
      <c r="BO127" s="51">
        <v>0</v>
      </c>
      <c r="BP127" s="193">
        <v>-1181.3599999999999</v>
      </c>
      <c r="BQ127" s="16"/>
      <c r="BR127" s="94">
        <v>-9.5900000000001455</v>
      </c>
      <c r="BS127" s="19"/>
    </row>
    <row r="128" spans="1:71" s="17" customFormat="1" ht="14.4" outlineLevel="1" thickBot="1">
      <c r="D128" s="239" t="s">
        <v>381</v>
      </c>
      <c r="E128" s="195">
        <v>0</v>
      </c>
      <c r="F128" s="51">
        <v>0</v>
      </c>
      <c r="G128" s="193">
        <v>0</v>
      </c>
      <c r="H128" s="51">
        <v>0</v>
      </c>
      <c r="I128" s="94">
        <v>0</v>
      </c>
      <c r="J128" s="16"/>
      <c r="K128" s="195">
        <v>-19035</v>
      </c>
      <c r="L128" s="51">
        <v>0</v>
      </c>
      <c r="M128" s="193">
        <v>-15071</v>
      </c>
      <c r="N128" s="16"/>
      <c r="O128" s="94">
        <v>-3964</v>
      </c>
      <c r="P128" s="19"/>
      <c r="Q128" s="195">
        <v>-19035</v>
      </c>
      <c r="R128" s="51">
        <v>0</v>
      </c>
      <c r="S128" s="193">
        <v>-15071</v>
      </c>
      <c r="T128" s="16"/>
      <c r="U128" s="94">
        <v>-3964</v>
      </c>
      <c r="W128" s="195">
        <v>0</v>
      </c>
      <c r="X128" s="51">
        <v>0</v>
      </c>
      <c r="Y128" s="193">
        <v>0</v>
      </c>
      <c r="Z128" s="16"/>
      <c r="AA128" s="94">
        <v>0</v>
      </c>
      <c r="AB128" s="19"/>
      <c r="AC128" s="195">
        <v>0</v>
      </c>
      <c r="AD128" s="51">
        <v>0</v>
      </c>
      <c r="AE128" s="193">
        <v>0</v>
      </c>
      <c r="AF128" s="16"/>
      <c r="AG128" s="94">
        <v>0</v>
      </c>
      <c r="AH128" s="19"/>
      <c r="AI128" s="195">
        <v>0</v>
      </c>
      <c r="AJ128" s="51">
        <v>0</v>
      </c>
      <c r="AK128" s="193">
        <v>0</v>
      </c>
      <c r="AL128" s="16"/>
      <c r="AM128" s="94">
        <v>0</v>
      </c>
      <c r="AN128" s="19"/>
      <c r="AO128" s="195">
        <v>0</v>
      </c>
      <c r="AP128" s="51">
        <v>0</v>
      </c>
      <c r="AQ128" s="193">
        <v>-750</v>
      </c>
      <c r="AR128" s="16"/>
      <c r="AS128" s="94">
        <v>750</v>
      </c>
      <c r="AT128" s="19"/>
      <c r="AU128" s="213"/>
      <c r="AV128" s="51"/>
      <c r="AW128" s="213"/>
      <c r="AX128" s="16"/>
      <c r="AY128" s="237"/>
      <c r="BA128" s="195">
        <v>-19035</v>
      </c>
      <c r="BB128" s="51"/>
      <c r="BC128" s="193">
        <v>-15071</v>
      </c>
      <c r="BD128" s="51"/>
      <c r="BE128" s="94">
        <v>-3964</v>
      </c>
      <c r="BG128" s="195">
        <v>0</v>
      </c>
      <c r="BH128" s="51">
        <v>0</v>
      </c>
      <c r="BI128" s="193">
        <v>-750</v>
      </c>
      <c r="BJ128" s="16"/>
      <c r="BK128" s="94">
        <v>750</v>
      </c>
      <c r="BL128" s="19"/>
      <c r="BN128" s="195">
        <v>0</v>
      </c>
      <c r="BO128" s="51">
        <v>0</v>
      </c>
      <c r="BP128" s="193">
        <v>0</v>
      </c>
      <c r="BQ128" s="16"/>
      <c r="BR128" s="94">
        <v>0</v>
      </c>
      <c r="BS128" s="19"/>
    </row>
    <row r="129" spans="4:71" s="38" customFormat="1" ht="16.2" outlineLevel="1" thickBot="1">
      <c r="D129" s="240" t="s">
        <v>363</v>
      </c>
      <c r="E129" s="147">
        <v>92851.316447177378</v>
      </c>
      <c r="F129" s="241" t="e">
        <v>#REF!</v>
      </c>
      <c r="G129" s="149">
        <v>92887.04637591909</v>
      </c>
      <c r="H129" s="241" t="e">
        <v>#REF!</v>
      </c>
      <c r="I129" s="150">
        <v>-35.729928741712115</v>
      </c>
      <c r="J129" s="16"/>
      <c r="K129" s="147">
        <v>-176532.57653448888</v>
      </c>
      <c r="L129" s="241" t="e">
        <v>#REF!</v>
      </c>
      <c r="M129" s="149">
        <v>-178213.93144131594</v>
      </c>
      <c r="N129" s="242"/>
      <c r="O129" s="219">
        <v>1681.3549068270895</v>
      </c>
      <c r="P129" s="19"/>
      <c r="Q129" s="217">
        <v>-84377.523565839801</v>
      </c>
      <c r="R129" s="241" t="e">
        <v>#REF!</v>
      </c>
      <c r="S129" s="223">
        <v>-85527.638355056712</v>
      </c>
      <c r="T129" s="242"/>
      <c r="U129" s="219">
        <v>1150.1147892168788</v>
      </c>
      <c r="W129" s="217" t="e">
        <v>#REF!</v>
      </c>
      <c r="X129" s="241" t="e">
        <v>#REF!</v>
      </c>
      <c r="Y129" s="223" t="e">
        <v>#REF!</v>
      </c>
      <c r="Z129" s="242"/>
      <c r="AA129" s="219" t="e">
        <v>#REF!</v>
      </c>
      <c r="AB129" s="19"/>
      <c r="AC129" s="217" t="e">
        <v>#REF!</v>
      </c>
      <c r="AD129" s="241" t="e">
        <v>#REF!</v>
      </c>
      <c r="AE129" s="223" t="e">
        <v>#REF!</v>
      </c>
      <c r="AF129" s="242"/>
      <c r="AG129" s="219" t="e">
        <v>#REF!</v>
      </c>
      <c r="AH129" s="19"/>
      <c r="AI129" s="217" t="e">
        <v>#REF!</v>
      </c>
      <c r="AJ129" s="241" t="e">
        <v>#REF!</v>
      </c>
      <c r="AK129" s="223" t="e">
        <v>#REF!</v>
      </c>
      <c r="AL129" s="242"/>
      <c r="AM129" s="219" t="e">
        <v>#REF!</v>
      </c>
      <c r="AN129" s="19"/>
      <c r="AO129" s="217" t="e">
        <v>#REF!</v>
      </c>
      <c r="AP129" s="241" t="e">
        <v>#REF!</v>
      </c>
      <c r="AQ129" s="223" t="e">
        <v>#REF!</v>
      </c>
      <c r="AR129" s="242"/>
      <c r="AS129" s="219" t="e">
        <v>#REF!</v>
      </c>
      <c r="AT129" s="19"/>
      <c r="AU129" s="243"/>
      <c r="AV129" s="244"/>
      <c r="AW129" s="243"/>
      <c r="AX129" s="16"/>
      <c r="AY129" s="245"/>
      <c r="BA129" s="217">
        <v>-84377.523565839801</v>
      </c>
      <c r="BB129" s="241"/>
      <c r="BC129" s="223">
        <v>-85527.638355056712</v>
      </c>
      <c r="BD129" s="51"/>
      <c r="BE129" s="219">
        <v>1150.1147892169101</v>
      </c>
      <c r="BG129" s="217" t="e">
        <v>#REF!</v>
      </c>
      <c r="BH129" s="241" t="e">
        <v>#REF!</v>
      </c>
      <c r="BI129" s="223" t="e">
        <v>#REF!</v>
      </c>
      <c r="BJ129" s="242"/>
      <c r="BK129" s="219" t="e">
        <v>#REF!</v>
      </c>
      <c r="BL129" s="19"/>
      <c r="BN129" s="217" t="e">
        <v>#REF!</v>
      </c>
      <c r="BO129" s="241" t="e">
        <v>#REF!</v>
      </c>
      <c r="BP129" s="223" t="e">
        <v>#REF!</v>
      </c>
      <c r="BQ129" s="242"/>
      <c r="BR129" s="219" t="e">
        <v>#REF!</v>
      </c>
      <c r="BS129" s="19"/>
    </row>
    <row r="130" spans="4:71" outlineLevel="2">
      <c r="D130" s="153" t="s">
        <v>366</v>
      </c>
      <c r="E130" s="158">
        <v>-1.1641532182693481E-10</v>
      </c>
      <c r="F130" s="158"/>
      <c r="G130" s="158">
        <v>0</v>
      </c>
      <c r="H130" s="158"/>
      <c r="I130" s="158">
        <v>-1.0220446711173281E-10</v>
      </c>
      <c r="J130" s="159"/>
      <c r="K130" s="158">
        <v>0</v>
      </c>
      <c r="L130" s="158"/>
      <c r="M130" s="154">
        <v>0</v>
      </c>
      <c r="N130" s="158"/>
      <c r="O130" s="154">
        <v>8.1854523159563541E-11</v>
      </c>
      <c r="P130" s="154"/>
      <c r="Q130" s="154">
        <v>0</v>
      </c>
      <c r="R130" s="154"/>
      <c r="S130" s="154">
        <v>0</v>
      </c>
      <c r="T130" s="154"/>
      <c r="U130" s="154">
        <v>-1.6825651982799172E-11</v>
      </c>
      <c r="W130" s="154" t="e">
        <v>#REF!</v>
      </c>
      <c r="X130" s="154"/>
      <c r="Y130" s="154" t="e">
        <v>#REF!</v>
      </c>
      <c r="Z130" s="154"/>
      <c r="AA130" s="154" t="e">
        <v>#REF!</v>
      </c>
      <c r="AB130" s="154"/>
      <c r="AC130" s="154" t="e">
        <v>#REF!</v>
      </c>
      <c r="AD130" s="154"/>
      <c r="AE130" s="154" t="e">
        <v>#REF!</v>
      </c>
      <c r="AF130" s="154"/>
      <c r="AG130" s="154" t="e">
        <v>#REF!</v>
      </c>
      <c r="AH130" s="154"/>
      <c r="AI130" s="154" t="e">
        <v>#REF!</v>
      </c>
      <c r="AJ130" s="154"/>
      <c r="AK130" s="154" t="e">
        <v>#REF!</v>
      </c>
      <c r="AL130" s="154"/>
      <c r="AM130" s="154" t="e">
        <v>#REF!</v>
      </c>
      <c r="AN130" s="154"/>
      <c r="AO130" s="154" t="e">
        <v>#REF!</v>
      </c>
      <c r="AP130" s="154"/>
      <c r="AQ130" s="154" t="e">
        <v>#REF!</v>
      </c>
      <c r="AR130" s="154"/>
      <c r="AS130" s="154" t="e">
        <v>#REF!</v>
      </c>
      <c r="AT130" s="158"/>
      <c r="AU130" s="154"/>
      <c r="AV130" s="154"/>
      <c r="AW130" s="154"/>
      <c r="AX130" s="154"/>
      <c r="AY130" s="154"/>
      <c r="BA130" s="158">
        <v>-84377.523565839801</v>
      </c>
      <c r="BB130" s="158"/>
      <c r="BC130" s="158">
        <v>-85527.638355056712</v>
      </c>
      <c r="BD130" s="51"/>
      <c r="BE130" s="158">
        <v>1150.1147892169101</v>
      </c>
      <c r="BG130" s="154" t="e">
        <v>#REF!</v>
      </c>
      <c r="BH130" s="154"/>
      <c r="BI130" s="154" t="e">
        <v>#REF!</v>
      </c>
      <c r="BJ130" s="154"/>
      <c r="BK130" s="154" t="e">
        <v>#REF!</v>
      </c>
      <c r="BL130" s="158"/>
      <c r="BN130" s="154" t="e">
        <v>#REF!</v>
      </c>
      <c r="BO130" s="154"/>
      <c r="BP130" s="154" t="e">
        <v>#REF!</v>
      </c>
      <c r="BQ130" s="154"/>
      <c r="BR130" s="154" t="e">
        <v>#REF!</v>
      </c>
      <c r="BS130" s="158"/>
    </row>
    <row r="132" spans="4:71">
      <c r="E132" s="246"/>
      <c r="F132" s="246"/>
      <c r="G132" s="246"/>
      <c r="H132" s="246"/>
      <c r="I132" s="247"/>
      <c r="J132" s="246"/>
      <c r="K132" s="246"/>
      <c r="L132" s="246"/>
      <c r="M132" s="246"/>
      <c r="N132" s="246"/>
      <c r="O132" s="247"/>
      <c r="P132" s="248"/>
      <c r="Q132" s="246"/>
      <c r="R132" s="246"/>
      <c r="S132" s="246"/>
      <c r="T132" s="246"/>
      <c r="U132" s="247"/>
    </row>
    <row r="133" spans="4:71" ht="14.4" thickBot="1"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249"/>
    </row>
    <row r="134" spans="4:71" ht="14.4" thickBot="1">
      <c r="D134" s="250" t="s">
        <v>382</v>
      </c>
      <c r="E134" s="251"/>
      <c r="F134" s="251"/>
      <c r="G134" s="251"/>
      <c r="H134" s="251"/>
      <c r="I134" s="251"/>
      <c r="J134" s="251"/>
      <c r="K134" s="252">
        <v>-19923.364560000002</v>
      </c>
      <c r="L134" s="253"/>
      <c r="M134" s="254">
        <v>-19752.25</v>
      </c>
      <c r="N134" s="255"/>
      <c r="O134" s="256">
        <v>-171.1145600000018</v>
      </c>
      <c r="P134" s="251"/>
      <c r="Q134" s="252">
        <v>-19923.364560000002</v>
      </c>
      <c r="R134" s="253"/>
      <c r="S134" s="254">
        <v>-19752.25</v>
      </c>
      <c r="T134" s="255"/>
      <c r="U134" s="256">
        <v>-171.1145600000018</v>
      </c>
      <c r="W134" s="257"/>
      <c r="X134" s="257"/>
      <c r="Y134" s="257"/>
      <c r="Z134" s="257"/>
      <c r="AA134" s="257"/>
      <c r="AB134" s="257"/>
      <c r="AC134" s="257"/>
      <c r="AD134" s="257"/>
      <c r="AE134" s="257"/>
      <c r="AF134" s="257"/>
      <c r="AG134" s="257"/>
      <c r="AH134" s="257"/>
      <c r="AI134" s="257"/>
      <c r="AJ134" s="257"/>
      <c r="AK134" s="257"/>
      <c r="AL134" s="257"/>
      <c r="AM134" s="257"/>
      <c r="AN134" s="257"/>
      <c r="AO134" s="257"/>
      <c r="AP134" s="257"/>
      <c r="AQ134" s="257"/>
      <c r="AR134" s="257"/>
      <c r="AS134" s="257"/>
      <c r="AT134" s="257"/>
      <c r="AU134" s="257"/>
      <c r="AV134" s="257"/>
      <c r="AW134" s="257"/>
      <c r="AX134" s="257"/>
      <c r="AY134" s="257"/>
      <c r="BA134" s="257"/>
      <c r="BB134" s="257"/>
      <c r="BC134" s="257"/>
      <c r="BD134" s="257"/>
      <c r="BE134" s="257"/>
      <c r="BG134" s="257"/>
      <c r="BH134" s="257"/>
      <c r="BI134" s="257"/>
      <c r="BJ134" s="257"/>
      <c r="BK134" s="257"/>
      <c r="BL134" s="257"/>
      <c r="BN134" s="257"/>
      <c r="BO134" s="257"/>
      <c r="BP134" s="257"/>
      <c r="BQ134" s="257"/>
      <c r="BR134" s="257"/>
      <c r="BS134" s="257"/>
    </row>
    <row r="135" spans="4:71" ht="14.4" thickBot="1">
      <c r="D135" s="258" t="s">
        <v>383</v>
      </c>
      <c r="E135" s="257"/>
      <c r="F135" s="257"/>
      <c r="G135" s="257"/>
      <c r="H135" s="257"/>
      <c r="I135" s="257"/>
      <c r="J135" s="257"/>
      <c r="K135" s="252">
        <v>-156609.21197448886</v>
      </c>
      <c r="L135" s="253"/>
      <c r="M135" s="254">
        <v>-158461.68144131594</v>
      </c>
      <c r="N135" s="255"/>
      <c r="O135" s="256">
        <v>1852.4694668270822</v>
      </c>
      <c r="P135" s="251"/>
      <c r="Q135" s="252">
        <v>-64454.1590058398</v>
      </c>
      <c r="R135" s="253"/>
      <c r="S135" s="254">
        <v>-65775.388355056712</v>
      </c>
      <c r="T135" s="255"/>
      <c r="U135" s="256">
        <v>1321.2293492169119</v>
      </c>
      <c r="W135" s="257"/>
      <c r="X135" s="257"/>
      <c r="Y135" s="257"/>
      <c r="Z135" s="257"/>
      <c r="AA135" s="257"/>
      <c r="AB135" s="257"/>
      <c r="AC135" s="257"/>
      <c r="AD135" s="257"/>
      <c r="AE135" s="257"/>
      <c r="AF135" s="257"/>
      <c r="AG135" s="257"/>
      <c r="AH135" s="257"/>
      <c r="AI135" s="257"/>
      <c r="AJ135" s="257"/>
      <c r="AK135" s="257"/>
      <c r="AL135" s="257"/>
      <c r="AM135" s="257"/>
      <c r="AN135" s="257"/>
      <c r="AO135" s="257"/>
      <c r="AP135" s="257"/>
      <c r="AQ135" s="257"/>
      <c r="AR135" s="257"/>
      <c r="AS135" s="257"/>
      <c r="AT135" s="257"/>
      <c r="AU135" s="257"/>
      <c r="AV135" s="257"/>
      <c r="AW135" s="257"/>
      <c r="AX135" s="257"/>
      <c r="AY135" s="257"/>
      <c r="BA135" s="257"/>
      <c r="BB135" s="257"/>
      <c r="BC135" s="257"/>
      <c r="BD135" s="257"/>
      <c r="BE135" s="257"/>
      <c r="BG135" s="257"/>
      <c r="BH135" s="257"/>
      <c r="BI135" s="257"/>
      <c r="BJ135" s="257"/>
      <c r="BK135" s="257"/>
      <c r="BL135" s="257"/>
      <c r="BN135" s="257"/>
      <c r="BO135" s="257"/>
      <c r="BP135" s="257"/>
      <c r="BQ135" s="257"/>
      <c r="BR135" s="257"/>
      <c r="BS135" s="257"/>
    </row>
  </sheetData>
  <mergeCells count="45">
    <mergeCell ref="D14:D15"/>
    <mergeCell ref="E14:E15"/>
    <mergeCell ref="G14:G15"/>
    <mergeCell ref="I14:I15"/>
    <mergeCell ref="K14:K15"/>
    <mergeCell ref="AO11:AS11"/>
    <mergeCell ref="AU11:AY11"/>
    <mergeCell ref="BG11:BK11"/>
    <mergeCell ref="BN11:BR11"/>
    <mergeCell ref="E13:U13"/>
    <mergeCell ref="E11:I11"/>
    <mergeCell ref="K11:O11"/>
    <mergeCell ref="Q11:U11"/>
    <mergeCell ref="W11:AA11"/>
    <mergeCell ref="AC11:AG11"/>
    <mergeCell ref="AI11:AM11"/>
    <mergeCell ref="AI14:AI15"/>
    <mergeCell ref="M14:M15"/>
    <mergeCell ref="O14:O15"/>
    <mergeCell ref="Q14:Q15"/>
    <mergeCell ref="S14:S15"/>
    <mergeCell ref="U14:U15"/>
    <mergeCell ref="W14:W15"/>
    <mergeCell ref="Y14:Y15"/>
    <mergeCell ref="AA14:AA15"/>
    <mergeCell ref="AC14:AC15"/>
    <mergeCell ref="AE14:AE15"/>
    <mergeCell ref="AG14:AG15"/>
    <mergeCell ref="BG14:BG15"/>
    <mergeCell ref="AK14:AK15"/>
    <mergeCell ref="AM14:AM15"/>
    <mergeCell ref="AO14:AO15"/>
    <mergeCell ref="AQ14:AQ15"/>
    <mergeCell ref="AS14:AS15"/>
    <mergeCell ref="AU14:AU15"/>
    <mergeCell ref="AW14:AW15"/>
    <mergeCell ref="AY14:AY15"/>
    <mergeCell ref="BA14:BA15"/>
    <mergeCell ref="BC14:BC15"/>
    <mergeCell ref="BE14:BE15"/>
    <mergeCell ref="BI14:BI15"/>
    <mergeCell ref="BK14:BK15"/>
    <mergeCell ref="BN14:BN15"/>
    <mergeCell ref="BP14:BP15"/>
    <mergeCell ref="BR14:BR15"/>
  </mergeCells>
  <conditionalFormatting sqref="I12">
    <cfRule type="cellIs" dxfId="166" priority="159" stopIfTrue="1" operator="lessThan">
      <formula>0</formula>
    </cfRule>
  </conditionalFormatting>
  <conditionalFormatting sqref="I16:I95">
    <cfRule type="cellIs" dxfId="165" priority="25" stopIfTrue="1" operator="lessThan">
      <formula>0</formula>
    </cfRule>
  </conditionalFormatting>
  <conditionalFormatting sqref="I99:I101">
    <cfRule type="cellIs" dxfId="164" priority="53" stopIfTrue="1" operator="lessThan">
      <formula>0</formula>
    </cfRule>
  </conditionalFormatting>
  <conditionalFormatting sqref="I101:I103">
    <cfRule type="expression" dxfId="163" priority="58" stopIfTrue="1">
      <formula>$K196&lt;$M196</formula>
    </cfRule>
  </conditionalFormatting>
  <conditionalFormatting sqref="I102:I113 I115:I117">
    <cfRule type="cellIs" dxfId="162" priority="57" stopIfTrue="1" operator="lessThan">
      <formula>0</formula>
    </cfRule>
  </conditionalFormatting>
  <conditionalFormatting sqref="I104:I108">
    <cfRule type="expression" dxfId="161" priority="60" stopIfTrue="1">
      <formula>$K200&lt;$M200</formula>
    </cfRule>
  </conditionalFormatting>
  <conditionalFormatting sqref="I109">
    <cfRule type="expression" dxfId="160" priority="61" stopIfTrue="1">
      <formula>$K206&lt;$M206</formula>
    </cfRule>
  </conditionalFormatting>
  <conditionalFormatting sqref="I111:I112">
    <cfRule type="expression" dxfId="159" priority="59" stopIfTrue="1">
      <formula>$K212&lt;$M212</formula>
    </cfRule>
  </conditionalFormatting>
  <conditionalFormatting sqref="I113">
    <cfRule type="expression" dxfId="158" priority="56" stopIfTrue="1">
      <formula>$K213&lt;$M213</formula>
    </cfRule>
  </conditionalFormatting>
  <conditionalFormatting sqref="I114">
    <cfRule type="cellIs" dxfId="157" priority="54" stopIfTrue="1" operator="lessThan">
      <formula>0</formula>
    </cfRule>
  </conditionalFormatting>
  <conditionalFormatting sqref="I115:I117">
    <cfRule type="expression" dxfId="156" priority="55" stopIfTrue="1">
      <formula>$K215&lt;$M215</formula>
    </cfRule>
  </conditionalFormatting>
  <conditionalFormatting sqref="I121:I129">
    <cfRule type="cellIs" dxfId="155" priority="52" stopIfTrue="1" operator="lessThan">
      <formula>0</formula>
    </cfRule>
  </conditionalFormatting>
  <conditionalFormatting sqref="O1:O10">
    <cfRule type="cellIs" dxfId="154" priority="161" stopIfTrue="1" operator="lessThan">
      <formula>0</formula>
    </cfRule>
  </conditionalFormatting>
  <conditionalFormatting sqref="O12">
    <cfRule type="cellIs" dxfId="153" priority="158" stopIfTrue="1" operator="lessThan">
      <formula>0</formula>
    </cfRule>
  </conditionalFormatting>
  <conditionalFormatting sqref="O16:O17">
    <cfRule type="cellIs" dxfId="152" priority="15" stopIfTrue="1" operator="lessThan">
      <formula>0</formula>
    </cfRule>
  </conditionalFormatting>
  <conditionalFormatting sqref="O18:O55">
    <cfRule type="cellIs" dxfId="151" priority="21" stopIfTrue="1" operator="lessThan">
      <formula>0</formula>
    </cfRule>
  </conditionalFormatting>
  <conditionalFormatting sqref="O39:O41">
    <cfRule type="expression" dxfId="150" priority="139" stopIfTrue="1">
      <formula>$K121&lt;$M121</formula>
    </cfRule>
    <cfRule type="expression" dxfId="149" priority="143" stopIfTrue="1">
      <formula>$K123&lt;$M123</formula>
    </cfRule>
    <cfRule type="cellIs" dxfId="148" priority="142" stopIfTrue="1" operator="lessThan">
      <formula>0</formula>
    </cfRule>
    <cfRule type="cellIs" dxfId="147" priority="141" stopIfTrue="1" operator="lessThan">
      <formula>0</formula>
    </cfRule>
    <cfRule type="cellIs" dxfId="146" priority="140" stopIfTrue="1" operator="lessThan">
      <formula>0</formula>
    </cfRule>
  </conditionalFormatting>
  <conditionalFormatting sqref="O49:O51 O55:O57">
    <cfRule type="cellIs" dxfId="145" priority="144" stopIfTrue="1" operator="lessThan">
      <formula>0</formula>
    </cfRule>
  </conditionalFormatting>
  <conditionalFormatting sqref="O49:O51">
    <cfRule type="cellIs" dxfId="144" priority="145" stopIfTrue="1" operator="lessThan">
      <formula>0</formula>
    </cfRule>
  </conditionalFormatting>
  <conditionalFormatting sqref="O52:O54">
    <cfRule type="cellIs" dxfId="143" priority="17" stopIfTrue="1" operator="lessThan">
      <formula>0</formula>
    </cfRule>
    <cfRule type="expression" dxfId="142" priority="18" stopIfTrue="1">
      <formula>$K134&lt;$M134</formula>
    </cfRule>
    <cfRule type="cellIs" dxfId="141" priority="19" stopIfTrue="1" operator="lessThan">
      <formula>0</formula>
    </cfRule>
    <cfRule type="cellIs" dxfId="140" priority="20" stopIfTrue="1" operator="lessThan">
      <formula>0</formula>
    </cfRule>
    <cfRule type="expression" dxfId="139" priority="22" stopIfTrue="1">
      <formula>$K136&lt;$M136</formula>
    </cfRule>
  </conditionalFormatting>
  <conditionalFormatting sqref="O57:O68">
    <cfRule type="cellIs" dxfId="138" priority="14" stopIfTrue="1" operator="lessThan">
      <formula>0</formula>
    </cfRule>
  </conditionalFormatting>
  <conditionalFormatting sqref="O58:O68">
    <cfRule type="cellIs" dxfId="137" priority="13" stopIfTrue="1" operator="lessThan">
      <formula>0</formula>
    </cfRule>
  </conditionalFormatting>
  <conditionalFormatting sqref="O58:O69">
    <cfRule type="cellIs" dxfId="136" priority="11" stopIfTrue="1" operator="lessThan">
      <formula>0</formula>
    </cfRule>
  </conditionalFormatting>
  <conditionalFormatting sqref="O69">
    <cfRule type="expression" dxfId="135" priority="12" stopIfTrue="1">
      <formula>$K156&lt;$M156</formula>
    </cfRule>
    <cfRule type="cellIs" dxfId="134" priority="9" stopIfTrue="1" operator="lessThan">
      <formula>0</formula>
    </cfRule>
    <cfRule type="expression" dxfId="133" priority="10" stopIfTrue="1">
      <formula>$K156&lt;$M156</formula>
    </cfRule>
  </conditionalFormatting>
  <conditionalFormatting sqref="O69:O75">
    <cfRule type="cellIs" dxfId="132" priority="137" stopIfTrue="1" operator="lessThan">
      <formula>0</formula>
    </cfRule>
  </conditionalFormatting>
  <conditionalFormatting sqref="O74">
    <cfRule type="expression" dxfId="131" priority="138" stopIfTrue="1">
      <formula>$K156&lt;$M156</formula>
    </cfRule>
    <cfRule type="cellIs" dxfId="130" priority="136" stopIfTrue="1" operator="lessThan">
      <formula>0</formula>
    </cfRule>
    <cfRule type="cellIs" dxfId="129" priority="133" stopIfTrue="1" operator="lessThan">
      <formula>0</formula>
    </cfRule>
    <cfRule type="expression" dxfId="128" priority="134" stopIfTrue="1">
      <formula>$K154&lt;$M154</formula>
    </cfRule>
    <cfRule type="cellIs" dxfId="127" priority="135" stopIfTrue="1" operator="lessThan">
      <formula>0</formula>
    </cfRule>
  </conditionalFormatting>
  <conditionalFormatting sqref="O76">
    <cfRule type="cellIs" dxfId="126" priority="129" stopIfTrue="1" operator="lessThan">
      <formula>0</formula>
    </cfRule>
    <cfRule type="expression" dxfId="125" priority="128" stopIfTrue="1">
      <formula>$K156&lt;$M156</formula>
    </cfRule>
    <cfRule type="cellIs" dxfId="124" priority="130" stopIfTrue="1" operator="lessThan">
      <formula>0</formula>
    </cfRule>
    <cfRule type="cellIs" dxfId="123" priority="131" stopIfTrue="1" operator="lessThan">
      <formula>0</formula>
    </cfRule>
    <cfRule type="expression" dxfId="122" priority="132" stopIfTrue="1">
      <formula>$K158&lt;$M158</formula>
    </cfRule>
  </conditionalFormatting>
  <conditionalFormatting sqref="O76:O78">
    <cfRule type="cellIs" dxfId="121" priority="7" stopIfTrue="1" operator="lessThan">
      <formula>0</formula>
    </cfRule>
  </conditionalFormatting>
  <conditionalFormatting sqref="O77">
    <cfRule type="cellIs" dxfId="120" priority="3" stopIfTrue="1" operator="lessThan">
      <formula>0</formula>
    </cfRule>
    <cfRule type="expression" dxfId="119" priority="4" stopIfTrue="1">
      <formula>$K157&lt;$M157</formula>
    </cfRule>
    <cfRule type="cellIs" dxfId="118" priority="5" stopIfTrue="1" operator="lessThan">
      <formula>0</formula>
    </cfRule>
    <cfRule type="cellIs" dxfId="117" priority="6" stopIfTrue="1" operator="lessThan">
      <formula>0</formula>
    </cfRule>
    <cfRule type="expression" dxfId="116" priority="8" stopIfTrue="1">
      <formula>$K159&lt;$M159</formula>
    </cfRule>
  </conditionalFormatting>
  <conditionalFormatting sqref="O78">
    <cfRule type="expression" dxfId="115" priority="123" stopIfTrue="1">
      <formula>$K159&lt;$M159</formula>
    </cfRule>
    <cfRule type="cellIs" dxfId="114" priority="124" stopIfTrue="1" operator="lessThan">
      <formula>0</formula>
    </cfRule>
    <cfRule type="cellIs" dxfId="113" priority="125" stopIfTrue="1" operator="lessThan">
      <formula>0</formula>
    </cfRule>
    <cfRule type="expression" dxfId="112" priority="127" stopIfTrue="1">
      <formula>$K161&lt;$M161</formula>
    </cfRule>
  </conditionalFormatting>
  <conditionalFormatting sqref="O78:O82">
    <cfRule type="cellIs" dxfId="111" priority="126" stopIfTrue="1" operator="lessThan">
      <formula>0</formula>
    </cfRule>
  </conditionalFormatting>
  <conditionalFormatting sqref="O83:O88">
    <cfRule type="cellIs" dxfId="110" priority="24" stopIfTrue="1" operator="lessThan">
      <formula>0</formula>
    </cfRule>
  </conditionalFormatting>
  <conditionalFormatting sqref="O89:O91">
    <cfRule type="cellIs" dxfId="109" priority="147" stopIfTrue="1" operator="lessThan">
      <formula>0</formula>
    </cfRule>
    <cfRule type="cellIs" dxfId="108" priority="154" stopIfTrue="1" operator="lessThan">
      <formula>0</formula>
    </cfRule>
  </conditionalFormatting>
  <conditionalFormatting sqref="O91">
    <cfRule type="expression" dxfId="107" priority="146" stopIfTrue="1">
      <formula>$K178&lt;$M178</formula>
    </cfRule>
    <cfRule type="expression" dxfId="106" priority="153" stopIfTrue="1">
      <formula>$K178&lt;$M178</formula>
    </cfRule>
  </conditionalFormatting>
  <conditionalFormatting sqref="O91:O94">
    <cfRule type="cellIs" dxfId="105" priority="90" stopIfTrue="1" operator="lessThan">
      <formula>0</formula>
    </cfRule>
  </conditionalFormatting>
  <conditionalFormatting sqref="O92">
    <cfRule type="expression" dxfId="104" priority="89" stopIfTrue="1">
      <formula>$K179&lt;$M179</formula>
    </cfRule>
    <cfRule type="cellIs" dxfId="103" priority="88" stopIfTrue="1" operator="lessThan">
      <formula>0</formula>
    </cfRule>
    <cfRule type="expression" dxfId="102" priority="87" stopIfTrue="1">
      <formula>$K179&lt;$M179</formula>
    </cfRule>
    <cfRule type="cellIs" dxfId="101" priority="86" stopIfTrue="1" operator="lessThan">
      <formula>0</formula>
    </cfRule>
  </conditionalFormatting>
  <conditionalFormatting sqref="O95">
    <cfRule type="cellIs" dxfId="100" priority="85" stopIfTrue="1" operator="lessThan">
      <formula>0</formula>
    </cfRule>
  </conditionalFormatting>
  <conditionalFormatting sqref="O99">
    <cfRule type="cellIs" dxfId="99" priority="51" stopIfTrue="1" operator="lessThan">
      <formula>0</formula>
    </cfRule>
  </conditionalFormatting>
  <conditionalFormatting sqref="O100:O113">
    <cfRule type="cellIs" dxfId="98" priority="156" stopIfTrue="1" operator="lessThan">
      <formula>0</formula>
    </cfRule>
  </conditionalFormatting>
  <conditionalFormatting sqref="O101:O103">
    <cfRule type="expression" dxfId="97" priority="163" stopIfTrue="1">
      <formula>$K196&lt;$M196</formula>
    </cfRule>
  </conditionalFormatting>
  <conditionalFormatting sqref="O104:O108">
    <cfRule type="expression" dxfId="96" priority="165" stopIfTrue="1">
      <formula>$K200&lt;$M200</formula>
    </cfRule>
  </conditionalFormatting>
  <conditionalFormatting sqref="O109">
    <cfRule type="expression" dxfId="95" priority="166" stopIfTrue="1">
      <formula>$K206&lt;$M206</formula>
    </cfRule>
  </conditionalFormatting>
  <conditionalFormatting sqref="O110 I110">
    <cfRule type="expression" dxfId="94" priority="167" stopIfTrue="1">
      <formula>$K209&lt;$M209</formula>
    </cfRule>
  </conditionalFormatting>
  <conditionalFormatting sqref="O111:O112">
    <cfRule type="expression" dxfId="93" priority="164" stopIfTrue="1">
      <formula>$K212&lt;$M212</formula>
    </cfRule>
  </conditionalFormatting>
  <conditionalFormatting sqref="O113 O115:O117">
    <cfRule type="expression" dxfId="92" priority="155" stopIfTrue="1">
      <formula>$K213&lt;$M213</formula>
    </cfRule>
  </conditionalFormatting>
  <conditionalFormatting sqref="O114">
    <cfRule type="cellIs" dxfId="91" priority="152" stopIfTrue="1" operator="lessThan">
      <formula>0</formula>
    </cfRule>
  </conditionalFormatting>
  <conditionalFormatting sqref="O115:O117 O55:O57 U51 I1:I10 I14 O14 O131:O132 U131:U132 I131:I133 J133:U133 I136:I65536">
    <cfRule type="cellIs" dxfId="90" priority="162" stopIfTrue="1" operator="lessThan">
      <formula>0</formula>
    </cfRule>
  </conditionalFormatting>
  <conditionalFormatting sqref="O121">
    <cfRule type="cellIs" dxfId="89" priority="48" stopIfTrue="1" operator="lessThan">
      <formula>0</formula>
    </cfRule>
  </conditionalFormatting>
  <conditionalFormatting sqref="O122:O126">
    <cfRule type="expression" dxfId="88" priority="150" stopIfTrue="1">
      <formula>$K223&lt;$M223</formula>
    </cfRule>
  </conditionalFormatting>
  <conditionalFormatting sqref="O122:O128">
    <cfRule type="cellIs" dxfId="87" priority="151" stopIfTrue="1" operator="lessThan">
      <formula>0</formula>
    </cfRule>
  </conditionalFormatting>
  <conditionalFormatting sqref="O127:O129">
    <cfRule type="expression" dxfId="86" priority="148" stopIfTrue="1">
      <formula>$K229&lt;$M229</formula>
    </cfRule>
  </conditionalFormatting>
  <conditionalFormatting sqref="O129">
    <cfRule type="cellIs" dxfId="85" priority="149" stopIfTrue="1" operator="lessThan">
      <formula>0</formula>
    </cfRule>
  </conditionalFormatting>
  <conditionalFormatting sqref="O134:O65536">
    <cfRule type="cellIs" dxfId="84" priority="2" stopIfTrue="1" operator="lessThan">
      <formula>0</formula>
    </cfRule>
  </conditionalFormatting>
  <conditionalFormatting sqref="U1:U10">
    <cfRule type="cellIs" dxfId="83" priority="160" stopIfTrue="1" operator="lessThan">
      <formula>0</formula>
    </cfRule>
  </conditionalFormatting>
  <conditionalFormatting sqref="U12">
    <cfRule type="cellIs" dxfId="82" priority="157" stopIfTrue="1" operator="lessThan">
      <formula>0</formula>
    </cfRule>
  </conditionalFormatting>
  <conditionalFormatting sqref="U16:U50">
    <cfRule type="cellIs" dxfId="81" priority="23" stopIfTrue="1" operator="lessThan">
      <formula>0</formula>
    </cfRule>
  </conditionalFormatting>
  <conditionalFormatting sqref="U51">
    <cfRule type="cellIs" dxfId="80" priority="122" stopIfTrue="1" operator="lessThan">
      <formula>0</formula>
    </cfRule>
  </conditionalFormatting>
  <conditionalFormatting sqref="U52:U95">
    <cfRule type="cellIs" dxfId="79" priority="16" stopIfTrue="1" operator="lessThan">
      <formula>0</formula>
    </cfRule>
  </conditionalFormatting>
  <conditionalFormatting sqref="U99:U117">
    <cfRule type="cellIs" dxfId="78" priority="50" stopIfTrue="1" operator="lessThan">
      <formula>0</formula>
    </cfRule>
  </conditionalFormatting>
  <conditionalFormatting sqref="U121:U129">
    <cfRule type="cellIs" dxfId="77" priority="47" stopIfTrue="1" operator="lessThan">
      <formula>0</formula>
    </cfRule>
  </conditionalFormatting>
  <conditionalFormatting sqref="U134:U65536">
    <cfRule type="cellIs" dxfId="76" priority="1" stopIfTrue="1" operator="lessThan">
      <formula>0</formula>
    </cfRule>
  </conditionalFormatting>
  <conditionalFormatting sqref="AA1:AA10">
    <cfRule type="cellIs" dxfId="75" priority="120" stopIfTrue="1" operator="lessThan">
      <formula>0</formula>
    </cfRule>
  </conditionalFormatting>
  <conditionalFormatting sqref="AA12">
    <cfRule type="cellIs" dxfId="74" priority="119" stopIfTrue="1" operator="lessThan">
      <formula>0</formula>
    </cfRule>
  </conditionalFormatting>
  <conditionalFormatting sqref="AA16:AA47">
    <cfRule type="cellIs" dxfId="73" priority="84" stopIfTrue="1" operator="lessThan">
      <formula>0</formula>
    </cfRule>
  </conditionalFormatting>
  <conditionalFormatting sqref="AA48:AA58">
    <cfRule type="cellIs" dxfId="72" priority="118" stopIfTrue="1" operator="lessThan">
      <formula>0</formula>
    </cfRule>
  </conditionalFormatting>
  <conditionalFormatting sqref="AA50:AA54">
    <cfRule type="cellIs" dxfId="71" priority="117" stopIfTrue="1" operator="lessThan">
      <formula>0</formula>
    </cfRule>
  </conditionalFormatting>
  <conditionalFormatting sqref="AA59:AA95">
    <cfRule type="cellIs" dxfId="70" priority="79" stopIfTrue="1" operator="lessThan">
      <formula>0</formula>
    </cfRule>
  </conditionalFormatting>
  <conditionalFormatting sqref="AA99:AA117">
    <cfRule type="cellIs" dxfId="69" priority="72" stopIfTrue="1" operator="lessThan">
      <formula>0</formula>
    </cfRule>
  </conditionalFormatting>
  <conditionalFormatting sqref="AA121:AA129">
    <cfRule type="cellIs" dxfId="68" priority="66" stopIfTrue="1" operator="lessThan">
      <formula>0</formula>
    </cfRule>
  </conditionalFormatting>
  <conditionalFormatting sqref="AA131:AA133 AA136:AA65536">
    <cfRule type="cellIs" dxfId="67" priority="121" stopIfTrue="1" operator="lessThan">
      <formula>0</formula>
    </cfRule>
  </conditionalFormatting>
  <conditionalFormatting sqref="AB119">
    <cfRule type="cellIs" dxfId="66" priority="113" stopIfTrue="1" operator="lessThan">
      <formula>0</formula>
    </cfRule>
  </conditionalFormatting>
  <conditionalFormatting sqref="AG1:AG10">
    <cfRule type="cellIs" dxfId="65" priority="115" stopIfTrue="1" operator="lessThan">
      <formula>0</formula>
    </cfRule>
  </conditionalFormatting>
  <conditionalFormatting sqref="AG12">
    <cfRule type="cellIs" dxfId="64" priority="114" stopIfTrue="1" operator="lessThan">
      <formula>0</formula>
    </cfRule>
  </conditionalFormatting>
  <conditionalFormatting sqref="AG16:AG47">
    <cfRule type="cellIs" dxfId="63" priority="83" stopIfTrue="1" operator="lessThan">
      <formula>0</formula>
    </cfRule>
  </conditionalFormatting>
  <conditionalFormatting sqref="AG48:AG58">
    <cfRule type="cellIs" dxfId="62" priority="112" stopIfTrue="1" operator="lessThan">
      <formula>0</formula>
    </cfRule>
  </conditionalFormatting>
  <conditionalFormatting sqref="AG50:AG54">
    <cfRule type="cellIs" dxfId="61" priority="111" stopIfTrue="1" operator="lessThan">
      <formula>0</formula>
    </cfRule>
  </conditionalFormatting>
  <conditionalFormatting sqref="AG59:AG95">
    <cfRule type="cellIs" dxfId="60" priority="78" stopIfTrue="1" operator="lessThan">
      <formula>0</formula>
    </cfRule>
  </conditionalFormatting>
  <conditionalFormatting sqref="AG99:AG117">
    <cfRule type="cellIs" dxfId="59" priority="71" stopIfTrue="1" operator="lessThan">
      <formula>0</formula>
    </cfRule>
  </conditionalFormatting>
  <conditionalFormatting sqref="AG121:AG129">
    <cfRule type="cellIs" dxfId="58" priority="65" stopIfTrue="1" operator="lessThan">
      <formula>0</formula>
    </cfRule>
  </conditionalFormatting>
  <conditionalFormatting sqref="AG131:AG133 AG136:AG65536">
    <cfRule type="cellIs" dxfId="57" priority="116" stopIfTrue="1" operator="lessThan">
      <formula>0</formula>
    </cfRule>
  </conditionalFormatting>
  <conditionalFormatting sqref="AH119">
    <cfRule type="cellIs" dxfId="56" priority="107" stopIfTrue="1" operator="lessThan">
      <formula>0</formula>
    </cfRule>
  </conditionalFormatting>
  <conditionalFormatting sqref="AM1:AM10">
    <cfRule type="cellIs" dxfId="55" priority="109" stopIfTrue="1" operator="lessThan">
      <formula>0</formula>
    </cfRule>
  </conditionalFormatting>
  <conditionalFormatting sqref="AM12">
    <cfRule type="cellIs" dxfId="54" priority="108" stopIfTrue="1" operator="lessThan">
      <formula>0</formula>
    </cfRule>
  </conditionalFormatting>
  <conditionalFormatting sqref="AM16:AM47">
    <cfRule type="cellIs" dxfId="53" priority="82" stopIfTrue="1" operator="lessThan">
      <formula>0</formula>
    </cfRule>
  </conditionalFormatting>
  <conditionalFormatting sqref="AM48:AM58">
    <cfRule type="cellIs" dxfId="52" priority="106" stopIfTrue="1" operator="lessThan">
      <formula>0</formula>
    </cfRule>
  </conditionalFormatting>
  <conditionalFormatting sqref="AM50:AM54">
    <cfRule type="cellIs" dxfId="51" priority="105" stopIfTrue="1" operator="lessThan">
      <formula>0</formula>
    </cfRule>
  </conditionalFormatting>
  <conditionalFormatting sqref="AM59:AM95">
    <cfRule type="cellIs" dxfId="50" priority="77" stopIfTrue="1" operator="lessThan">
      <formula>0</formula>
    </cfRule>
  </conditionalFormatting>
  <conditionalFormatting sqref="AM99:AM117">
    <cfRule type="cellIs" dxfId="49" priority="70" stopIfTrue="1" operator="lessThan">
      <formula>0</formula>
    </cfRule>
  </conditionalFormatting>
  <conditionalFormatting sqref="AM121:AM129">
    <cfRule type="cellIs" dxfId="48" priority="64" stopIfTrue="1" operator="lessThan">
      <formula>0</formula>
    </cfRule>
  </conditionalFormatting>
  <conditionalFormatting sqref="AM131:AM133 AM136:AM65536">
    <cfRule type="cellIs" dxfId="47" priority="110" stopIfTrue="1" operator="lessThan">
      <formula>0</formula>
    </cfRule>
  </conditionalFormatting>
  <conditionalFormatting sqref="AN119">
    <cfRule type="cellIs" dxfId="46" priority="101" stopIfTrue="1" operator="lessThan">
      <formula>0</formula>
    </cfRule>
  </conditionalFormatting>
  <conditionalFormatting sqref="AS1:AS10">
    <cfRule type="cellIs" dxfId="45" priority="103" stopIfTrue="1" operator="lessThan">
      <formula>0</formula>
    </cfRule>
  </conditionalFormatting>
  <conditionalFormatting sqref="AS12">
    <cfRule type="cellIs" dxfId="44" priority="102" stopIfTrue="1" operator="lessThan">
      <formula>0</formula>
    </cfRule>
  </conditionalFormatting>
  <conditionalFormatting sqref="AS16:AS47">
    <cfRule type="cellIs" dxfId="43" priority="81" stopIfTrue="1" operator="lessThan">
      <formula>0</formula>
    </cfRule>
  </conditionalFormatting>
  <conditionalFormatting sqref="AS48:AS58">
    <cfRule type="cellIs" dxfId="42" priority="100" stopIfTrue="1" operator="lessThan">
      <formula>0</formula>
    </cfRule>
  </conditionalFormatting>
  <conditionalFormatting sqref="AS50:AS54">
    <cfRule type="cellIs" dxfId="41" priority="99" stopIfTrue="1" operator="lessThan">
      <formula>0</formula>
    </cfRule>
  </conditionalFormatting>
  <conditionalFormatting sqref="AS59:AS95">
    <cfRule type="cellIs" dxfId="40" priority="76" stopIfTrue="1" operator="lessThan">
      <formula>0</formula>
    </cfRule>
  </conditionalFormatting>
  <conditionalFormatting sqref="AS99:AS117">
    <cfRule type="cellIs" dxfId="39" priority="69" stopIfTrue="1" operator="lessThan">
      <formula>0</formula>
    </cfRule>
  </conditionalFormatting>
  <conditionalFormatting sqref="AS121:AS129">
    <cfRule type="cellIs" dxfId="38" priority="63" stopIfTrue="1" operator="lessThan">
      <formula>0</formula>
    </cfRule>
  </conditionalFormatting>
  <conditionalFormatting sqref="AS131:AS133 AS136:AS65536">
    <cfRule type="cellIs" dxfId="37" priority="104" stopIfTrue="1" operator="lessThan">
      <formula>0</formula>
    </cfRule>
  </conditionalFormatting>
  <conditionalFormatting sqref="AT119">
    <cfRule type="cellIs" dxfId="36" priority="46" stopIfTrue="1" operator="lessThan">
      <formula>0</formula>
    </cfRule>
  </conditionalFormatting>
  <conditionalFormatting sqref="AY1:AY10">
    <cfRule type="cellIs" dxfId="35" priority="97" stopIfTrue="1" operator="lessThan">
      <formula>0</formula>
    </cfRule>
  </conditionalFormatting>
  <conditionalFormatting sqref="AY12">
    <cfRule type="cellIs" dxfId="34" priority="96" stopIfTrue="1" operator="lessThan">
      <formula>0</formula>
    </cfRule>
  </conditionalFormatting>
  <conditionalFormatting sqref="AY16:AY47">
    <cfRule type="cellIs" dxfId="33" priority="74" stopIfTrue="1" operator="lessThan">
      <formula>0</formula>
    </cfRule>
  </conditionalFormatting>
  <conditionalFormatting sqref="AY48:AY91">
    <cfRule type="cellIs" dxfId="32" priority="95" stopIfTrue="1" operator="lessThan">
      <formula>0</formula>
    </cfRule>
  </conditionalFormatting>
  <conditionalFormatting sqref="AY50:AY54">
    <cfRule type="cellIs" dxfId="31" priority="94" stopIfTrue="1" operator="lessThan">
      <formula>0</formula>
    </cfRule>
  </conditionalFormatting>
  <conditionalFormatting sqref="AY92:AY95">
    <cfRule type="cellIs" dxfId="30" priority="75" stopIfTrue="1" operator="lessThan">
      <formula>0</formula>
    </cfRule>
  </conditionalFormatting>
  <conditionalFormatting sqref="AY99:AY117">
    <cfRule type="cellIs" dxfId="29" priority="68" stopIfTrue="1" operator="lessThan">
      <formula>0</formula>
    </cfRule>
  </conditionalFormatting>
  <conditionalFormatting sqref="AY121:AY129">
    <cfRule type="cellIs" dxfId="28" priority="62" stopIfTrue="1" operator="lessThan">
      <formula>0</formula>
    </cfRule>
  </conditionalFormatting>
  <conditionalFormatting sqref="AY131:AY133 AY136:AY65536">
    <cfRule type="cellIs" dxfId="27" priority="98" stopIfTrue="1" operator="lessThan">
      <formula>0</formula>
    </cfRule>
  </conditionalFormatting>
  <conditionalFormatting sqref="BE1:BE10">
    <cfRule type="cellIs" dxfId="26" priority="92" stopIfTrue="1" operator="lessThan">
      <formula>0</formula>
    </cfRule>
  </conditionalFormatting>
  <conditionalFormatting sqref="BE12">
    <cfRule type="cellIs" dxfId="25" priority="91" stopIfTrue="1" operator="lessThan">
      <formula>0</formula>
    </cfRule>
  </conditionalFormatting>
  <conditionalFormatting sqref="BE14">
    <cfRule type="cellIs" dxfId="24" priority="73" stopIfTrue="1" operator="lessThan">
      <formula>0</formula>
    </cfRule>
  </conditionalFormatting>
  <conditionalFormatting sqref="BE16:BE95">
    <cfRule type="cellIs" dxfId="23" priority="80" stopIfTrue="1" operator="lessThan">
      <formula>0</formula>
    </cfRule>
  </conditionalFormatting>
  <conditionalFormatting sqref="BE99:BE117">
    <cfRule type="cellIs" dxfId="22" priority="49" stopIfTrue="1" operator="lessThan">
      <formula>0</formula>
    </cfRule>
  </conditionalFormatting>
  <conditionalFormatting sqref="BE121:BE129">
    <cfRule type="cellIs" dxfId="21" priority="67" stopIfTrue="1" operator="lessThan">
      <formula>0</formula>
    </cfRule>
  </conditionalFormatting>
  <conditionalFormatting sqref="BE131:BE133 BE136:BE65536">
    <cfRule type="cellIs" dxfId="20" priority="93" stopIfTrue="1" operator="lessThan">
      <formula>0</formula>
    </cfRule>
  </conditionalFormatting>
  <conditionalFormatting sqref="BK1:BK10">
    <cfRule type="cellIs" dxfId="19" priority="44" stopIfTrue="1" operator="lessThan">
      <formula>0</formula>
    </cfRule>
  </conditionalFormatting>
  <conditionalFormatting sqref="BK12">
    <cfRule type="cellIs" dxfId="18" priority="43" stopIfTrue="1" operator="lessThan">
      <formula>0</formula>
    </cfRule>
  </conditionalFormatting>
  <conditionalFormatting sqref="BK16:BK47">
    <cfRule type="cellIs" dxfId="17" priority="40" stopIfTrue="1" operator="lessThan">
      <formula>0</formula>
    </cfRule>
  </conditionalFormatting>
  <conditionalFormatting sqref="BK48:BK58">
    <cfRule type="cellIs" dxfId="16" priority="42" stopIfTrue="1" operator="lessThan">
      <formula>0</formula>
    </cfRule>
  </conditionalFormatting>
  <conditionalFormatting sqref="BK50:BK54">
    <cfRule type="cellIs" dxfId="15" priority="41" stopIfTrue="1" operator="lessThan">
      <formula>0</formula>
    </cfRule>
  </conditionalFormatting>
  <conditionalFormatting sqref="BK59:BK95">
    <cfRule type="cellIs" dxfId="14" priority="39" stopIfTrue="1" operator="lessThan">
      <formula>0</formula>
    </cfRule>
  </conditionalFormatting>
  <conditionalFormatting sqref="BK99:BK117">
    <cfRule type="cellIs" dxfId="13" priority="38" stopIfTrue="1" operator="lessThan">
      <formula>0</formula>
    </cfRule>
  </conditionalFormatting>
  <conditionalFormatting sqref="BK121:BK129">
    <cfRule type="cellIs" dxfId="12" priority="37" stopIfTrue="1" operator="lessThan">
      <formula>0</formula>
    </cfRule>
  </conditionalFormatting>
  <conditionalFormatting sqref="BK131:BK133 BK136:BK65536">
    <cfRule type="cellIs" dxfId="11" priority="45" stopIfTrue="1" operator="lessThan">
      <formula>0</formula>
    </cfRule>
  </conditionalFormatting>
  <conditionalFormatting sqref="BL119">
    <cfRule type="cellIs" dxfId="10" priority="36" stopIfTrue="1" operator="lessThan">
      <formula>0</formula>
    </cfRule>
  </conditionalFormatting>
  <conditionalFormatting sqref="BR1:BR10">
    <cfRule type="cellIs" dxfId="9" priority="34" stopIfTrue="1" operator="lessThan">
      <formula>0</formula>
    </cfRule>
  </conditionalFormatting>
  <conditionalFormatting sqref="BR12">
    <cfRule type="cellIs" dxfId="8" priority="33" stopIfTrue="1" operator="lessThan">
      <formula>0</formula>
    </cfRule>
  </conditionalFormatting>
  <conditionalFormatting sqref="BR16:BR47">
    <cfRule type="cellIs" dxfId="7" priority="30" stopIfTrue="1" operator="lessThan">
      <formula>0</formula>
    </cfRule>
  </conditionalFormatting>
  <conditionalFormatting sqref="BR48:BR58">
    <cfRule type="cellIs" dxfId="6" priority="32" stopIfTrue="1" operator="lessThan">
      <formula>0</formula>
    </cfRule>
  </conditionalFormatting>
  <conditionalFormatting sqref="BR50:BR54">
    <cfRule type="cellIs" dxfId="5" priority="31" stopIfTrue="1" operator="lessThan">
      <formula>0</formula>
    </cfRule>
  </conditionalFormatting>
  <conditionalFormatting sqref="BR59:BR95">
    <cfRule type="cellIs" dxfId="4" priority="29" stopIfTrue="1" operator="lessThan">
      <formula>0</formula>
    </cfRule>
  </conditionalFormatting>
  <conditionalFormatting sqref="BR99:BR117">
    <cfRule type="cellIs" dxfId="3" priority="28" stopIfTrue="1" operator="lessThan">
      <formula>0</formula>
    </cfRule>
  </conditionalFormatting>
  <conditionalFormatting sqref="BR121:BR129">
    <cfRule type="cellIs" dxfId="2" priority="27" stopIfTrue="1" operator="lessThan">
      <formula>0</formula>
    </cfRule>
  </conditionalFormatting>
  <conditionalFormatting sqref="BR131:BR133 BR136:BR65536">
    <cfRule type="cellIs" dxfId="1" priority="35" stopIfTrue="1" operator="lessThan">
      <formula>0</formula>
    </cfRule>
  </conditionalFormatting>
  <conditionalFormatting sqref="BS119">
    <cfRule type="cellIs" dxfId="0" priority="26" stopIfTrue="1" operator="lessThan">
      <formula>0</formula>
    </cfRule>
  </conditionalFormatting>
  <printOptions horizontalCentered="1"/>
  <pageMargins left="0.23622047244094491" right="0.23622047244094491" top="0.27559055118110237" bottom="0.35433070866141736" header="0.15748031496062992" footer="0.15748031496062992"/>
  <pageSetup paperSize="9" scale="60" orientation="portrait" r:id="rId1"/>
  <headerFooter alignWithMargins="0">
    <oddFooter>&amp;R&amp;P/&amp;N_x000D_&amp;1#&amp;"Aptos"&amp;10&amp;K0078D7 Classification : Internal</oddFooter>
  </headerFooter>
  <rowBreaks count="1" manualBreakCount="1">
    <brk id="1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1. Business Lines (2)</vt:lpstr>
      <vt:lpstr>2. Entities</vt:lpstr>
      <vt:lpstr>Réalisé Vs Estimé</vt:lpstr>
      <vt:lpstr>Réalisé Vs Estimé (Valeurs)</vt:lpstr>
      <vt:lpstr>'Réalisé Vs Estimé'!Zone_d_impression</vt:lpstr>
      <vt:lpstr>'Réalisé Vs Estimé (Valeurs)'!Zone_d_impression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2015-06-05T18:17:20Z</dcterms:created>
  <dcterms:modified xsi:type="dcterms:W3CDTF">2026-08-20T21:33:16Z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2026-08-16T15:59:03Z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90ef0ad2-2adf-4f20-abd7-160b1e39996c</vt:lpwstr>
  </property>
  <property fmtid="{D5CDD505-2E9C-101B-9397-08002B2CF9AE}" pid="8" name="MSIP_Label_8ffbc0b8-e97b-47d1-beac-cb0955d66f3b_ContentBits">
    <vt:lpwstr>2</vt:lpwstr>
  </property>
  <property fmtid="{D5CDD505-2E9C-101B-9397-08002B2CF9AE}" pid="9" name="MSIP_Label_8ffbc0b8-e97b-47d1-beac-cb0955d66f3b_Tag">
    <vt:lpwstr>10, 0, 1, 1</vt:lpwstr>
  </property>
</Properties>
</file>